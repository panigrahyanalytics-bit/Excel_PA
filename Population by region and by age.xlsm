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5.xml" ContentType="application/vnd.openxmlformats-officedocument.spreadsheetml.table+xml"/>
  <Override PartName="/xl/pivotTables/pivotTable4.xml" ContentType="application/vnd.openxmlformats-officedocument.spreadsheetml.pivotTable+xml"/>
  <Override PartName="/xl/drawings/drawing7.xml" ContentType="application/vnd.openxmlformats-officedocument.drawing+xml"/>
  <Override PartName="/xl/slicers/slicer4.xml" ContentType="application/vnd.ms-excel.slicer+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slicers/slicer5.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sridh\OneDrive\Desktop\Panigrahyanalytics\EXCEL\Project2\"/>
    </mc:Choice>
  </mc:AlternateContent>
  <xr:revisionPtr revIDLastSave="0" documentId="13_ncr:1_{D8147AED-62B8-4A2D-B7FE-D35B849E7AD3}" xr6:coauthVersionLast="47" xr6:coauthVersionMax="47" xr10:uidLastSave="{00000000-0000-0000-0000-000000000000}"/>
  <bookViews>
    <workbookView xWindow="-110" yWindow="-110" windowWidth="19420" windowHeight="10300" firstSheet="13" activeTab="14" xr2:uid="{5E11D0AD-D210-4427-B83D-E9B374338C75}"/>
  </bookViews>
  <sheets>
    <sheet name="Row_data" sheetId="1" r:id="rId1"/>
    <sheet name="Formated_data" sheetId="2" r:id="rId2"/>
    <sheet name="Overall_Population" sheetId="6" r:id="rId3"/>
    <sheet name="Overall_Population_Pivot" sheetId="10" r:id="rId4"/>
    <sheet name="Overall_Population_Slicer" sheetId="14" r:id="rId5"/>
    <sheet name="Overall_Population_Charts" sheetId="17" r:id="rId6"/>
    <sheet name="Overall_Boys_Population" sheetId="7" r:id="rId7"/>
    <sheet name="Overall_Boys_Population_Pivot" sheetId="12" r:id="rId8"/>
    <sheet name="Overall_Boys_Population_Slicer" sheetId="15" r:id="rId9"/>
    <sheet name="Overall_Boys_Population_Charts" sheetId="18" r:id="rId10"/>
    <sheet name="Overall_Girls_Population" sheetId="8" r:id="rId11"/>
    <sheet name="Overall_Girls_Population_Pivot" sheetId="13" r:id="rId12"/>
    <sheet name="Overall_Girls_Population_Slicer" sheetId="16" r:id="rId13"/>
    <sheet name="Overall_Girls_Population_Charts" sheetId="19" r:id="rId14"/>
    <sheet name="Top_5_Populated_States" sheetId="22" r:id="rId15"/>
    <sheet name="Top_5_Populated_States_Pivot" sheetId="24" r:id="rId16"/>
    <sheet name="Top_5_Populated_States_Slicer" sheetId="25" r:id="rId17"/>
    <sheet name="Top_5_Populated_States_Charts" sheetId="26" r:id="rId18"/>
    <sheet name="Final_Dashboard" sheetId="21" r:id="rId19"/>
  </sheets>
  <definedNames>
    <definedName name="ExternalData_1" localSheetId="1" hidden="1">Formated_data!$A$1:$T$38</definedName>
    <definedName name="ExternalData_1" localSheetId="6" hidden="1">Overall_Boys_Population!$A$1:$F$38</definedName>
    <definedName name="ExternalData_1" localSheetId="10" hidden="1">Overall_Girls_Population!$A$1:$F$38</definedName>
    <definedName name="ExternalData_1" localSheetId="2" hidden="1">Overall_Population!$A$1:$F$38</definedName>
    <definedName name="Slicer_India_State_UT">#N/A</definedName>
    <definedName name="Slicer_India_State_UT1">#N/A</definedName>
    <definedName name="Slicer_India_State_UT2">#N/A</definedName>
    <definedName name="Slicer_Overall___Boys___Population___Status">#N/A</definedName>
    <definedName name="Slicer_Overall___Girls___Population___Status">#N/A</definedName>
    <definedName name="Slicer_Population___Status">#N/A</definedName>
    <definedName name="Slicer_State">#N/A</definedName>
  </definedNames>
  <calcPr calcId="191029"/>
  <pivotCaches>
    <pivotCache cacheId="0" r:id="rId20"/>
    <pivotCache cacheId="1" r:id="rId21"/>
    <pivotCache cacheId="2" r:id="rId22"/>
    <pivotCache cacheId="3" r:id="rId23"/>
  </pivotCaches>
  <extLst>
    <ext xmlns:x14="http://schemas.microsoft.com/office/spreadsheetml/2009/9/main" uri="{BBE1A952-AA13-448e-AADC-164F8A28A991}">
      <x14:slicerCaches>
        <x14:slicerCache r:id="rId24"/>
        <x14:slicerCache r:id="rId25"/>
        <x14:slicerCache r:id="rId26"/>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 i="6" l="1"/>
  <c r="H2" i="6" s="1" a="1"/>
  <c r="H2" i="6" s="1"/>
  <c r="G3" i="6"/>
  <c r="H3" i="6" s="1" a="1"/>
  <c r="H3" i="6" s="1"/>
  <c r="G4" i="6"/>
  <c r="H4" i="6" a="1"/>
  <c r="H4" i="6"/>
  <c r="G5" i="6"/>
  <c r="H5" i="6" s="1" a="1"/>
  <c r="H5" i="6" s="1"/>
  <c r="G6" i="6"/>
  <c r="H6" i="6" s="1" a="1"/>
  <c r="H6" i="6" s="1"/>
  <c r="G7" i="6"/>
  <c r="H7" i="6" a="1"/>
  <c r="H7" i="6" s="1"/>
  <c r="G8" i="6"/>
  <c r="H8" i="6" s="1" a="1"/>
  <c r="H8" i="6" s="1"/>
  <c r="G9" i="6"/>
  <c r="H9" i="6" a="1"/>
  <c r="H9" i="6" s="1"/>
  <c r="G10" i="6"/>
  <c r="H10" i="6" s="1" a="1"/>
  <c r="H10" i="6" s="1"/>
  <c r="G11" i="6"/>
  <c r="H11" i="6" a="1"/>
  <c r="H11" i="6" s="1"/>
  <c r="G12" i="6"/>
  <c r="H12" i="6" s="1" a="1"/>
  <c r="H12" i="6" s="1"/>
  <c r="G13" i="6"/>
  <c r="H13" i="6" a="1"/>
  <c r="H13" i="6" s="1"/>
  <c r="G14" i="6"/>
  <c r="H14" i="6" s="1" a="1"/>
  <c r="H14" i="6" s="1"/>
  <c r="G15" i="6"/>
  <c r="H15" i="6" a="1"/>
  <c r="H15" i="6" s="1"/>
  <c r="G16" i="6"/>
  <c r="H16" i="6" s="1" a="1"/>
  <c r="H16" i="6" s="1"/>
  <c r="G17" i="6"/>
  <c r="H17" i="6" a="1"/>
  <c r="H17" i="6" s="1"/>
  <c r="G18" i="6"/>
  <c r="H18" i="6" s="1" a="1"/>
  <c r="H18" i="6" s="1"/>
  <c r="G19" i="6"/>
  <c r="H19" i="6" a="1"/>
  <c r="H19" i="6" s="1"/>
  <c r="G20" i="6"/>
  <c r="H20" i="6" s="1" a="1"/>
  <c r="H20" i="6" s="1"/>
  <c r="G21" i="6"/>
  <c r="H21" i="6" a="1"/>
  <c r="H21" i="6" s="1"/>
  <c r="G22" i="6"/>
  <c r="H22" i="6" s="1" a="1"/>
  <c r="H22" i="6" s="1"/>
  <c r="G23" i="6"/>
  <c r="H23" i="6" a="1"/>
  <c r="H23" i="6" s="1"/>
  <c r="G24" i="6"/>
  <c r="H24" i="6" s="1" a="1"/>
  <c r="H24" i="6" s="1"/>
  <c r="G25" i="6"/>
  <c r="H25" i="6" a="1"/>
  <c r="H25" i="6" s="1"/>
  <c r="G26" i="6"/>
  <c r="H26" i="6" s="1" a="1"/>
  <c r="H26" i="6" s="1"/>
  <c r="G27" i="6"/>
  <c r="H27" i="6" a="1"/>
  <c r="H27" i="6" s="1"/>
  <c r="G28" i="6"/>
  <c r="H28" i="6" s="1" a="1"/>
  <c r="H28" i="6" s="1"/>
  <c r="G29" i="6"/>
  <c r="H29" i="6" a="1"/>
  <c r="H29" i="6" s="1"/>
  <c r="G30" i="6"/>
  <c r="H30" i="6" s="1" a="1"/>
  <c r="H30" i="6" s="1"/>
  <c r="G31" i="6"/>
  <c r="H31" i="6" a="1"/>
  <c r="H31" i="6" s="1"/>
  <c r="G32" i="6"/>
  <c r="H32" i="6" s="1" a="1"/>
  <c r="H32" i="6" s="1"/>
  <c r="G33" i="6"/>
  <c r="H33" i="6" a="1"/>
  <c r="H33" i="6" s="1"/>
  <c r="G34" i="6"/>
  <c r="H34" i="6" s="1" a="1"/>
  <c r="H34" i="6" s="1"/>
  <c r="G35" i="6"/>
  <c r="H35" i="6" a="1"/>
  <c r="H35" i="6" s="1"/>
  <c r="G36" i="6"/>
  <c r="H36" i="6" s="1" a="1"/>
  <c r="H36" i="6" s="1"/>
  <c r="G37" i="6"/>
  <c r="H37" i="6" a="1"/>
  <c r="H37" i="6" s="1"/>
  <c r="G38" i="6"/>
  <c r="H38" i="6" s="1" a="1"/>
  <c r="H38" i="6" s="1"/>
  <c r="G2" i="7"/>
  <c r="H2" i="7" s="1" a="1"/>
  <c r="H2" i="7" s="1"/>
  <c r="G2" i="8"/>
  <c r="H2" i="8" s="1" a="1"/>
  <c r="H2" i="8" s="1"/>
  <c r="G3" i="8"/>
  <c r="H3" i="8" s="1" a="1"/>
  <c r="H3" i="8" s="1"/>
  <c r="G4" i="8"/>
  <c r="H4" i="8" s="1" a="1"/>
  <c r="H4" i="8" s="1"/>
  <c r="G5" i="8"/>
  <c r="H5" i="8" s="1" a="1"/>
  <c r="H5" i="8" s="1"/>
  <c r="G6" i="8"/>
  <c r="H6" i="8" s="1" a="1"/>
  <c r="H6" i="8" s="1"/>
  <c r="G7" i="8"/>
  <c r="H7" i="8" s="1" a="1"/>
  <c r="H7" i="8" s="1"/>
  <c r="G8" i="8"/>
  <c r="H8" i="8" s="1" a="1"/>
  <c r="H8" i="8" s="1"/>
  <c r="G9" i="8"/>
  <c r="H9" i="8" s="1" a="1"/>
  <c r="H9" i="8" s="1"/>
  <c r="G10" i="8"/>
  <c r="H10" i="8" s="1" a="1"/>
  <c r="H10" i="8" s="1"/>
  <c r="G11" i="8"/>
  <c r="H11" i="8" s="1" a="1"/>
  <c r="H11" i="8" s="1"/>
  <c r="G12" i="8"/>
  <c r="H12" i="8" s="1" a="1"/>
  <c r="H12" i="8" s="1"/>
  <c r="G13" i="8"/>
  <c r="H13" i="8" s="1" a="1"/>
  <c r="H13" i="8" s="1"/>
  <c r="G14" i="8"/>
  <c r="H14" i="8" s="1" a="1"/>
  <c r="H14" i="8" s="1"/>
  <c r="G15" i="8"/>
  <c r="H15" i="8" s="1" a="1"/>
  <c r="H15" i="8" s="1"/>
  <c r="G16" i="8"/>
  <c r="H16" i="8" s="1" a="1"/>
  <c r="H16" i="8" s="1"/>
  <c r="G17" i="8"/>
  <c r="H17" i="8" s="1" a="1"/>
  <c r="H17" i="8" s="1"/>
  <c r="G18" i="8"/>
  <c r="H18" i="8" s="1" a="1"/>
  <c r="H18" i="8" s="1"/>
  <c r="G19" i="8"/>
  <c r="H19" i="8" s="1" a="1"/>
  <c r="H19" i="8" s="1"/>
  <c r="G20" i="8"/>
  <c r="H20" i="8" s="1" a="1"/>
  <c r="H20" i="8" s="1"/>
  <c r="G21" i="8"/>
  <c r="H21" i="8" s="1" a="1"/>
  <c r="H21" i="8" s="1"/>
  <c r="G22" i="8"/>
  <c r="H22" i="8" s="1" a="1"/>
  <c r="H22" i="8" s="1"/>
  <c r="G23" i="8"/>
  <c r="H23" i="8" s="1" a="1"/>
  <c r="H23" i="8" s="1"/>
  <c r="G24" i="8"/>
  <c r="H24" i="8" s="1" a="1"/>
  <c r="H24" i="8" s="1"/>
  <c r="G25" i="8"/>
  <c r="H25" i="8" s="1" a="1"/>
  <c r="H25" i="8" s="1"/>
  <c r="G26" i="8"/>
  <c r="H26" i="8" s="1" a="1"/>
  <c r="H26" i="8" s="1"/>
  <c r="G27" i="8"/>
  <c r="H27" i="8" s="1" a="1"/>
  <c r="H27" i="8" s="1"/>
  <c r="G28" i="8"/>
  <c r="H28" i="8" s="1" a="1"/>
  <c r="H28" i="8" s="1"/>
  <c r="G29" i="8"/>
  <c r="H29" i="8" s="1" a="1"/>
  <c r="H29" i="8" s="1"/>
  <c r="G30" i="8"/>
  <c r="H30" i="8" s="1" a="1"/>
  <c r="H30" i="8" s="1"/>
  <c r="G31" i="8"/>
  <c r="H31" i="8" s="1" a="1"/>
  <c r="H31" i="8" s="1"/>
  <c r="G32" i="8"/>
  <c r="H32" i="8" s="1" a="1"/>
  <c r="H32" i="8" s="1"/>
  <c r="G33" i="8"/>
  <c r="H33" i="8" s="1" a="1"/>
  <c r="H33" i="8" s="1"/>
  <c r="G34" i="8"/>
  <c r="H34" i="8" s="1" a="1"/>
  <c r="H34" i="8" s="1"/>
  <c r="G35" i="8"/>
  <c r="H35" i="8" s="1" a="1"/>
  <c r="H35" i="8" s="1"/>
  <c r="G36" i="8"/>
  <c r="H36" i="8" s="1" a="1"/>
  <c r="H36" i="8" s="1"/>
  <c r="G37" i="8"/>
  <c r="H37" i="8" s="1" a="1"/>
  <c r="H37" i="8" s="1"/>
  <c r="G38" i="8"/>
  <c r="H38" i="8" s="1" a="1"/>
  <c r="H38" i="8" s="1"/>
  <c r="G3" i="7"/>
  <c r="H3" i="7" s="1" a="1"/>
  <c r="H3" i="7" s="1"/>
  <c r="G4" i="7"/>
  <c r="H4" i="7" s="1" a="1"/>
  <c r="H4" i="7" s="1"/>
  <c r="G5" i="7"/>
  <c r="H5" i="7" s="1" a="1"/>
  <c r="H5" i="7" s="1"/>
  <c r="G6" i="7"/>
  <c r="H6" i="7" s="1" a="1"/>
  <c r="H6" i="7" s="1"/>
  <c r="G7" i="7"/>
  <c r="H7" i="7" s="1" a="1"/>
  <c r="H7" i="7" s="1"/>
  <c r="G8" i="7"/>
  <c r="H8" i="7" s="1" a="1"/>
  <c r="H8" i="7" s="1"/>
  <c r="G9" i="7"/>
  <c r="H9" i="7" s="1" a="1"/>
  <c r="H9" i="7" s="1"/>
  <c r="G10" i="7"/>
  <c r="H10" i="7" s="1" a="1"/>
  <c r="H10" i="7" s="1"/>
  <c r="G11" i="7"/>
  <c r="H11" i="7" s="1" a="1"/>
  <c r="H11" i="7" s="1"/>
  <c r="G12" i="7"/>
  <c r="H12" i="7" s="1" a="1"/>
  <c r="H12" i="7" s="1"/>
  <c r="G13" i="7"/>
  <c r="H13" i="7" s="1" a="1"/>
  <c r="H13" i="7" s="1"/>
  <c r="G14" i="7"/>
  <c r="H14" i="7" s="1" a="1"/>
  <c r="H14" i="7" s="1"/>
  <c r="G15" i="7"/>
  <c r="H15" i="7" s="1" a="1"/>
  <c r="H15" i="7" s="1"/>
  <c r="G16" i="7"/>
  <c r="H16" i="7" s="1" a="1"/>
  <c r="H16" i="7" s="1"/>
  <c r="G17" i="7"/>
  <c r="H17" i="7" s="1" a="1"/>
  <c r="H17" i="7" s="1"/>
  <c r="G18" i="7"/>
  <c r="H18" i="7" s="1" a="1"/>
  <c r="H18" i="7" s="1"/>
  <c r="G19" i="7"/>
  <c r="H19" i="7" s="1" a="1"/>
  <c r="H19" i="7" s="1"/>
  <c r="G20" i="7"/>
  <c r="H20" i="7" s="1" a="1"/>
  <c r="H20" i="7" s="1"/>
  <c r="G21" i="7"/>
  <c r="H21" i="7" s="1" a="1"/>
  <c r="H21" i="7" s="1"/>
  <c r="G22" i="7"/>
  <c r="H22" i="7" s="1" a="1"/>
  <c r="H22" i="7" s="1"/>
  <c r="G23" i="7"/>
  <c r="H23" i="7" s="1" a="1"/>
  <c r="H23" i="7" s="1"/>
  <c r="G24" i="7"/>
  <c r="H24" i="7" s="1" a="1"/>
  <c r="H24" i="7" s="1"/>
  <c r="G25" i="7"/>
  <c r="H25" i="7" s="1" a="1"/>
  <c r="H25" i="7" s="1"/>
  <c r="G26" i="7"/>
  <c r="H26" i="7" s="1" a="1"/>
  <c r="H26" i="7" s="1"/>
  <c r="G27" i="7"/>
  <c r="H27" i="7" s="1" a="1"/>
  <c r="H27" i="7" s="1"/>
  <c r="G28" i="7"/>
  <c r="H28" i="7" s="1" a="1"/>
  <c r="H28" i="7" s="1"/>
  <c r="G29" i="7"/>
  <c r="H29" i="7" s="1" a="1"/>
  <c r="H29" i="7" s="1"/>
  <c r="G30" i="7"/>
  <c r="H30" i="7" s="1" a="1"/>
  <c r="H30" i="7" s="1"/>
  <c r="G31" i="7"/>
  <c r="H31" i="7" s="1" a="1"/>
  <c r="H31" i="7" s="1"/>
  <c r="G32" i="7"/>
  <c r="H32" i="7" s="1" a="1"/>
  <c r="H32" i="7" s="1"/>
  <c r="G33" i="7"/>
  <c r="H33" i="7" s="1" a="1"/>
  <c r="H33" i="7" s="1"/>
  <c r="G34" i="7"/>
  <c r="H34" i="7" s="1" a="1"/>
  <c r="H34" i="7" s="1"/>
  <c r="G35" i="7"/>
  <c r="H35" i="7" s="1" a="1"/>
  <c r="H35" i="7" s="1"/>
  <c r="G36" i="7"/>
  <c r="H36" i="7" s="1" a="1"/>
  <c r="H36" i="7" s="1"/>
  <c r="G37" i="7"/>
  <c r="H37" i="7" s="1" a="1"/>
  <c r="H37" i="7" s="1"/>
  <c r="G38" i="7"/>
  <c r="H38" i="7" s="1" a="1"/>
  <c r="H38" i="7" s="1"/>
  <c r="G40" i="8" l="1"/>
  <c r="G41" i="6"/>
  <c r="G40"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9C55E09-A7B6-44DA-B42B-5D26BC0EC87B}" keepAlive="1" name="Query - Sheet3" description="Connection to the 'Sheet3' query in the workbook." type="5" refreshedVersion="8" background="1" saveData="1">
    <dbPr connection="Provider=Microsoft.Mashup.OleDb.1;Data Source=$Workbook$;Location=Sheet3;Extended Properties=&quot;&quot;" command="SELECT * FROM [Sheet3]"/>
  </connection>
  <connection id="2" xr16:uid="{3FF7376D-DCB8-4DB7-B21D-75FDA7985581}" keepAlive="1" name="Query - UDISE_2022_23_Table_10 1_0" description="Connection to the 'UDISE_2022_23_Table_10 1_0' query in the workbook." type="5" refreshedVersion="8" background="1" saveData="1">
    <dbPr connection="Provider=Microsoft.Mashup.OleDb.1;Data Source=$Workbook$;Location=&quot;UDISE_2022_23_Table_10 1_0&quot;;Extended Properties=&quot;&quot;" command="SELECT * FROM [UDISE_2022_23_Table_10 1_0]"/>
  </connection>
  <connection id="3" xr16:uid="{57A2FA1F-42E9-4772-9693-1ED2D42ADB1B}" keepAlive="1" name="Query - UDISE_2022_23_Table_10 1_0 (2)" description="Connection to the 'UDISE_2022_23_Table_10 1_0 (2)' query in the workbook." type="5" refreshedVersion="8" background="1" saveData="1">
    <dbPr connection="Provider=Microsoft.Mashup.OleDb.1;Data Source=$Workbook$;Location=&quot;UDISE_2022_23_Table_10 1_0 (2)&quot;;Extended Properties=&quot;&quot;" command="SELECT * FROM [UDISE_2022_23_Table_10 1_0 (2)]"/>
  </connection>
  <connection id="4" xr16:uid="{45332066-BE17-4B3D-93FA-5CC5C1CACE2F}" keepAlive="1" name="Query - UDISE_2022_23_Table_10 1_0 (3)" description="Connection to the 'UDISE_2022_23_Table_10 1_0 (3)' query in the workbook." type="5" refreshedVersion="8" background="1" saveData="1">
    <dbPr connection="Provider=Microsoft.Mashup.OleDb.1;Data Source=$Workbook$;Location=&quot;UDISE_2022_23_Table_10 1_0 (3)&quot;;Extended Properties=&quot;&quot;" command="SELECT * FROM [UDISE_2022_23_Table_10 1_0 (3)]"/>
  </connection>
  <connection id="5" xr16:uid="{BCF640D8-62E9-4F21-A4EC-3B0E6265FFE4}" keepAlive="1" name="Query - UDISE_2022_23_Table_10 1_0 (4)" description="Connection to the 'UDISE_2022_23_Table_10 1_0 (4)' query in the workbook." type="5" refreshedVersion="8" background="1" saveData="1">
    <dbPr connection="Provider=Microsoft.Mashup.OleDb.1;Data Source=$Workbook$;Location=&quot;UDISE_2022_23_Table_10 1_0 (4)&quot;;Extended Properties=&quot;&quot;" command="SELECT * FROM [UDISE_2022_23_Table_10 1_0 (4)]"/>
  </connection>
  <connection id="6" xr16:uid="{4B592D10-E385-4E7B-80F9-F76469A4BC51}" keepAlive="1" name="Query - UDISE_2022_23_Table_10 1_0 (5)" description="Connection to the 'UDISE_2022_23_Table_10 1_0 (5)' query in the workbook." type="5" refreshedVersion="8" background="1" saveData="1">
    <dbPr connection="Provider=Microsoft.Mashup.OleDb.1;Data Source=$Workbook$;Location=&quot;UDISE_2022_23_Table_10 1_0 (5)&quot;;Extended Properties=&quot;&quot;" command="SELECT * FROM [UDISE_2022_23_Table_10 1_0 (5)]"/>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<sst xmlns="http://schemas.openxmlformats.org/spreadsheetml/2006/main" count="548" uniqueCount="113">
  <si>
    <t>Sl. No.</t>
  </si>
  <si>
    <t>India/State/UT</t>
  </si>
  <si>
    <t>Projected Population by Age Group - Overall - Age 3 to 5 - Boys</t>
  </si>
  <si>
    <t>Projected Population by Age Group - Overall - Age 3 to 5 - Girls</t>
  </si>
  <si>
    <t>Projected Population by Age Group - Overall - Age 3 to 5 - Total</t>
  </si>
  <si>
    <t>Projected Population by Age Group - Overall - Age 6 to 10 - Boys</t>
  </si>
  <si>
    <t>Projected Population by Age Group - Overall - Age 6 to 10 - Girls</t>
  </si>
  <si>
    <t>Projected Population by Age Group - Overall - Age 6 to 10 - Total</t>
  </si>
  <si>
    <t>Projected Population by Age Group - Overall - Age 11 to 13 - Boys</t>
  </si>
  <si>
    <t>Projected Population by Age Group - Overall - Age 11 to 13 - Girls</t>
  </si>
  <si>
    <t>Projected Population by Age Group - Overall - Age 11 to 13 - Total</t>
  </si>
  <si>
    <t>Projected Population by Age Group - Overall - Age 6 to 13 - Boys</t>
  </si>
  <si>
    <t>Projected Population by Age Group - Overall - Age 6 to 13 - Girls</t>
  </si>
  <si>
    <t>Projected Population by Age Group - Overall - Age 6 to 13 - Total</t>
  </si>
  <si>
    <t>Projected Population by Age Group - Overall - Age 14 to 15 - Boys</t>
  </si>
  <si>
    <t>Projected Population by Age Group - Overall - Age 14 to 15 - Girls</t>
  </si>
  <si>
    <t>Projected Population by Age Group - Overall - Age 14 to 15 - Total</t>
  </si>
  <si>
    <t>Projected Population by Age Group - Overall - Age 16 to 17 - Boys</t>
  </si>
  <si>
    <t>Projected Population by Age Group - Overall - Age 16 to 17 - Girls</t>
  </si>
  <si>
    <t>Projected Population by Age Group - Overall - Age 16 to 17 - Total</t>
  </si>
  <si>
    <t>India</t>
  </si>
  <si>
    <t>1</t>
  </si>
  <si>
    <t>Andaman and Nicobar Islands</t>
  </si>
  <si>
    <t>2</t>
  </si>
  <si>
    <t>Andhra Pradesh</t>
  </si>
  <si>
    <t>3</t>
  </si>
  <si>
    <t>Arunachal Pradesh</t>
  </si>
  <si>
    <t>4</t>
  </si>
  <si>
    <t>Assam</t>
  </si>
  <si>
    <t>5</t>
  </si>
  <si>
    <t>Bihar</t>
  </si>
  <si>
    <t>6</t>
  </si>
  <si>
    <t>Chandigarh</t>
  </si>
  <si>
    <t>7</t>
  </si>
  <si>
    <t>Chhattisgarh</t>
  </si>
  <si>
    <t>8</t>
  </si>
  <si>
    <t>Dadra and Nagar Haveli and Daman and Diu</t>
  </si>
  <si>
    <t>9</t>
  </si>
  <si>
    <t>Delhi</t>
  </si>
  <si>
    <t>10</t>
  </si>
  <si>
    <t>Goa</t>
  </si>
  <si>
    <t>11</t>
  </si>
  <si>
    <t>Gujarat</t>
  </si>
  <si>
    <t>12</t>
  </si>
  <si>
    <t>Haryana</t>
  </si>
  <si>
    <t>13</t>
  </si>
  <si>
    <t>Himachal Pradesh</t>
  </si>
  <si>
    <t>14</t>
  </si>
  <si>
    <t>Jammu and Kashmir</t>
  </si>
  <si>
    <t>15</t>
  </si>
  <si>
    <t>Jharkhand</t>
  </si>
  <si>
    <t>16</t>
  </si>
  <si>
    <t>Karnataka</t>
  </si>
  <si>
    <t>17</t>
  </si>
  <si>
    <t>Kerala</t>
  </si>
  <si>
    <t>18</t>
  </si>
  <si>
    <t>Ladakh</t>
  </si>
  <si>
    <t>19</t>
  </si>
  <si>
    <t>Lakshadweep</t>
  </si>
  <si>
    <t>20</t>
  </si>
  <si>
    <t>Madhya Pradesh</t>
  </si>
  <si>
    <t>21</t>
  </si>
  <si>
    <t>Maharashtra</t>
  </si>
  <si>
    <t>22</t>
  </si>
  <si>
    <t>Manipur</t>
  </si>
  <si>
    <t>23</t>
  </si>
  <si>
    <t>Meghalaya</t>
  </si>
  <si>
    <t>24</t>
  </si>
  <si>
    <t>Mizoram</t>
  </si>
  <si>
    <t>25</t>
  </si>
  <si>
    <t>Nagaland</t>
  </si>
  <si>
    <t>26</t>
  </si>
  <si>
    <t>Odisha</t>
  </si>
  <si>
    <t>27</t>
  </si>
  <si>
    <t>Puducherry</t>
  </si>
  <si>
    <t>28</t>
  </si>
  <si>
    <t>Punjab</t>
  </si>
  <si>
    <t>29</t>
  </si>
  <si>
    <t>Rajasthan</t>
  </si>
  <si>
    <t>30</t>
  </si>
  <si>
    <t>Sikkim</t>
  </si>
  <si>
    <t>31</t>
  </si>
  <si>
    <t>Tamil Nadu</t>
  </si>
  <si>
    <t>32</t>
  </si>
  <si>
    <t>Telangana</t>
  </si>
  <si>
    <t>33</t>
  </si>
  <si>
    <t>Tripura</t>
  </si>
  <si>
    <t>34</t>
  </si>
  <si>
    <t>Uttar Pradesh</t>
  </si>
  <si>
    <t>35</t>
  </si>
  <si>
    <t>Uttarakhand</t>
  </si>
  <si>
    <t>36</t>
  </si>
  <si>
    <t>West Bengal</t>
  </si>
  <si>
    <t>Row Labels</t>
  </si>
  <si>
    <t>Grand Total</t>
  </si>
  <si>
    <t>(All)</t>
  </si>
  <si>
    <t xml:space="preserve">Overall - Population </t>
  </si>
  <si>
    <t>Population - Status</t>
  </si>
  <si>
    <t>Overall - Boys - Population</t>
  </si>
  <si>
    <t>Overall - Boys - Population - Status</t>
  </si>
  <si>
    <t>Overall - Girls - Population</t>
  </si>
  <si>
    <t>Overall - Girls - Population - Status</t>
  </si>
  <si>
    <t>Average Population Of States/Uts</t>
  </si>
  <si>
    <t>Average Boys Population Of States/Uts</t>
  </si>
  <si>
    <t>Average Girls Population Of States/Uts</t>
  </si>
  <si>
    <t xml:space="preserve">Sum of Overall - Population </t>
  </si>
  <si>
    <t>Sum of Overall - Boys - Population</t>
  </si>
  <si>
    <t>Sum of Overall - Girls - Population</t>
  </si>
  <si>
    <t>Boys</t>
  </si>
  <si>
    <t>Girls</t>
  </si>
  <si>
    <t>State</t>
  </si>
  <si>
    <t>Total (3–17)</t>
  </si>
  <si>
    <t>Sum of Total (3–17)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</si>
</sst>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9C5700"/>
      <name val="Calibri"/>
      <family val="2"/>
      <scheme val="minor"/>
    </font>
    <font>
      <b/>
      <sz val="11"/>
      <color rgb="FF9C5700"/>
      <name val="Calibri"/>
      <family val="2"/>
      <scheme val="minor"/>
    </font>
    <font>
      <b/>
      <sz val="11"/>
      <color theme="1"/>
      <name val="Calibri"/>
      <family val="2"/>
      <scheme val="minor"/>
    </font>
  </fonts>
  <fills count="4">
    <fill>
      <patternFill patternType="none"/>
    </fill>
    <fill>
      <patternFill patternType="gray125"/>
    </fill>
    <fill>
      <patternFill patternType="solid">
        <fgColor rgb="FFFFEB9C"/>
      </patternFill>
    </fill>
    <fill>
      <patternFill patternType="solid">
        <fgColor rgb="FFFFFF00"/>
        <bgColor indexed="64"/>
      </patternFill>
    </fill>
  </fills>
  <borders count="1">
    <border>
      <left/>
      <right/>
      <top/>
      <bottom/>
      <diagonal/>
    </border>
  </borders>
  <cellStyleXfs count="2">
    <xf numFmtId="0" fontId="0" fillId="0" borderId="0"/>
    <xf numFmtId="0" fontId="1" fillId="2" borderId="0" applyNumberFormat="0" applyBorder="0" applyAlignment="0" applyProtection="0"/>
  </cellStyleXfs>
  <cellXfs count="10">
    <xf numFmtId="0" fontId="0" fillId="0" borderId="0" xfId="0"/>
    <xf numFmtId="0" fontId="0" fillId="0" borderId="0" xfId="0" applyAlignment="1">
      <alignment horizontal="center" vertical="center"/>
    </xf>
    <xf numFmtId="0" fontId="0" fillId="0" borderId="0" xfId="0" pivotButton="1"/>
    <xf numFmtId="0" fontId="0" fillId="0" borderId="0" xfId="0" applyAlignment="1">
      <alignment horizontal="left"/>
    </xf>
    <xf numFmtId="0" fontId="2" fillId="2" borderId="0" xfId="1" applyFont="1" applyAlignment="1">
      <alignment horizontal="center" vertical="center"/>
    </xf>
    <xf numFmtId="0" fontId="0" fillId="3" borderId="0" xfId="0" applyFill="1"/>
    <xf numFmtId="0" fontId="3" fillId="0" borderId="0" xfId="0" applyFont="1" applyAlignment="1">
      <alignment horizontal="center" vertical="center" wrapText="1"/>
    </xf>
    <xf numFmtId="0" fontId="0" fillId="0" borderId="0" xfId="0" applyAlignment="1">
      <alignment horizontal="center" vertical="center" wrapText="1"/>
    </xf>
    <xf numFmtId="3" fontId="0" fillId="0" borderId="0" xfId="0" applyNumberFormat="1" applyAlignment="1">
      <alignment horizontal="center" vertical="center" wrapText="1"/>
    </xf>
    <xf numFmtId="3" fontId="0" fillId="0" borderId="0" xfId="0" applyNumberFormat="1"/>
  </cellXfs>
  <cellStyles count="2">
    <cellStyle name="Neutral" xfId="1" builtinId="28"/>
    <cellStyle name="Normal" xfId="0" builtinId="0"/>
  </cellStyles>
  <dxfs count="58">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numFmt numFmtId="3" formatCode="#,##0"/>
      <alignment horizontal="center" vertical="center" textRotation="0" wrapText="1" indent="0" justifyLastLine="0" shrinkToFit="0" readingOrder="0"/>
    </dxf>
    <dxf>
      <numFmt numFmtId="3" formatCode="#,##0"/>
      <alignment horizontal="center" vertical="center" textRotation="0" wrapText="1" indent="0" justifyLastLine="0" shrinkToFit="0" readingOrder="0"/>
    </dxf>
    <dxf>
      <numFmt numFmtId="3" formatCode="#,##0"/>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3.xml"/><Relationship Id="rId21" Type="http://schemas.openxmlformats.org/officeDocument/2006/relationships/pivotCacheDefinition" Target="pivotCache/pivotCacheDefinition2.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33" Type="http://schemas.openxmlformats.org/officeDocument/2006/relationships/styles" Target="style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32" Type="http://schemas.openxmlformats.org/officeDocument/2006/relationships/connections" Target="connections.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5.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4.xml"/><Relationship Id="rId30" Type="http://schemas.microsoft.com/office/2007/relationships/slicerCache" Target="slicerCaches/slicerCache7.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[Population by region and by age.xlsm]Overall_Population_Pivot!PivotTable1</c:name>
    <c:fmtId val="25"/>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w="9525">
              <a:solidFill>
                <a:schemeClr val="accent1">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w="9525">
              <a:solidFill>
                <a:schemeClr val="accent2">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w="9525">
              <a:solidFill>
                <a:schemeClr val="accent3">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w="9525">
              <a:solidFill>
                <a:schemeClr val="accent4">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w="9525">
              <a:solidFill>
                <a:schemeClr val="accent5">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w="9525">
              <a:solidFill>
                <a:schemeClr val="accent1">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w="9525">
              <a:solidFill>
                <a:schemeClr val="accent2">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w="9525">
              <a:solidFill>
                <a:schemeClr val="accent3">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w="9525">
              <a:solidFill>
                <a:schemeClr val="accent4">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w="9525">
              <a:solidFill>
                <a:schemeClr val="accent5">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w="9525">
              <a:solidFill>
                <a:schemeClr val="accent6">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w="9525">
              <a:solidFill>
                <a:schemeClr val="accent1">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w="9525">
              <a:solidFill>
                <a:schemeClr val="accent2">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w="9525">
              <a:solidFill>
                <a:schemeClr val="accent3">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w="9525">
              <a:solidFill>
                <a:schemeClr val="accent4">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w="9525">
              <a:solidFill>
                <a:schemeClr val="accent5">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w="9525">
              <a:solidFill>
                <a:schemeClr val="accent6">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w="9525">
              <a:solidFill>
                <a:schemeClr val="accent1">
                  <a:lumMod val="70000"/>
                  <a:lumOff val="3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Overall_Population_Pivot!$B$3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Overall_Population_Pivot!$A$4:$A$41</c:f>
              <c:strCache>
                <c:ptCount val="37"/>
                <c:pt idx="0">
                  <c:v>Andaman and Nicobar Islands</c:v>
                </c:pt>
                <c:pt idx="1">
                  <c:v>Andhra Pradesh</c:v>
                </c:pt>
                <c:pt idx="2">
                  <c:v>Arunachal Pradesh</c:v>
                </c:pt>
                <c:pt idx="3">
                  <c:v>Assam</c:v>
                </c:pt>
                <c:pt idx="4">
                  <c:v>Bihar</c:v>
                </c:pt>
                <c:pt idx="5">
                  <c:v>Chandigarh</c:v>
                </c:pt>
                <c:pt idx="6">
                  <c:v>Chhattisgarh</c:v>
                </c:pt>
                <c:pt idx="7">
                  <c:v>Dadra and Nagar Haveli and Daman and Diu</c:v>
                </c:pt>
                <c:pt idx="8">
                  <c:v>Delhi</c:v>
                </c:pt>
                <c:pt idx="9">
                  <c:v>Goa</c:v>
                </c:pt>
                <c:pt idx="10">
                  <c:v>Gujarat</c:v>
                </c:pt>
                <c:pt idx="11">
                  <c:v>Haryana</c:v>
                </c:pt>
                <c:pt idx="12">
                  <c:v>Himachal Pradesh</c:v>
                </c:pt>
                <c:pt idx="13">
                  <c:v>India</c:v>
                </c:pt>
                <c:pt idx="14">
                  <c:v>Jammu and Kashmir</c:v>
                </c:pt>
                <c:pt idx="15">
                  <c:v>Jharkhand</c:v>
                </c:pt>
                <c:pt idx="16">
                  <c:v>Karnataka</c:v>
                </c:pt>
                <c:pt idx="17">
                  <c:v>Kerala</c:v>
                </c:pt>
                <c:pt idx="18">
                  <c:v>Ladakh</c:v>
                </c:pt>
                <c:pt idx="19">
                  <c:v>Lakshadweep</c:v>
                </c:pt>
                <c:pt idx="20">
                  <c:v>Madhya Pradesh</c:v>
                </c:pt>
                <c:pt idx="21">
                  <c:v>Maharashtra</c:v>
                </c:pt>
                <c:pt idx="22">
                  <c:v>Manipur</c:v>
                </c:pt>
                <c:pt idx="23">
                  <c:v>Meghalaya</c:v>
                </c:pt>
                <c:pt idx="24">
                  <c:v>Mizoram</c:v>
                </c:pt>
                <c:pt idx="25">
                  <c:v>Nagaland</c:v>
                </c:pt>
                <c:pt idx="26">
                  <c:v>Odisha</c:v>
                </c:pt>
                <c:pt idx="27">
                  <c:v>Puducherry</c:v>
                </c:pt>
                <c:pt idx="28">
                  <c:v>Punjab</c:v>
                </c:pt>
                <c:pt idx="29">
                  <c:v>Rajasthan</c:v>
                </c:pt>
                <c:pt idx="30">
                  <c:v>Sikkim</c:v>
                </c:pt>
                <c:pt idx="31">
                  <c:v>Tamil Nadu</c:v>
                </c:pt>
                <c:pt idx="32">
                  <c:v>Telangana</c:v>
                </c:pt>
                <c:pt idx="33">
                  <c:v>Tripura</c:v>
                </c:pt>
                <c:pt idx="34">
                  <c:v>Uttar Pradesh</c:v>
                </c:pt>
                <c:pt idx="35">
                  <c:v>Uttarakhand</c:v>
                </c:pt>
                <c:pt idx="36">
                  <c:v>West Bengal</c:v>
                </c:pt>
              </c:strCache>
            </c:strRef>
          </c:cat>
          <c:val>
            <c:numRef>
              <c:f>Overall_Population_Pivot!$B$4:$B$41</c:f>
              <c:numCache>
                <c:formatCode>General</c:formatCode>
                <c:ptCount val="37"/>
                <c:pt idx="0">
                  <c:v>89501</c:v>
                </c:pt>
                <c:pt idx="1">
                  <c:v>11591800</c:v>
                </c:pt>
                <c:pt idx="2">
                  <c:v>433688</c:v>
                </c:pt>
                <c:pt idx="3">
                  <c:v>9978200</c:v>
                </c:pt>
                <c:pt idx="4">
                  <c:v>43355477</c:v>
                </c:pt>
                <c:pt idx="5">
                  <c:v>271791</c:v>
                </c:pt>
                <c:pt idx="6">
                  <c:v>8543467</c:v>
                </c:pt>
                <c:pt idx="7">
                  <c:v>172964</c:v>
                </c:pt>
                <c:pt idx="8">
                  <c:v>5306108</c:v>
                </c:pt>
                <c:pt idx="9">
                  <c:v>320012</c:v>
                </c:pt>
                <c:pt idx="10">
                  <c:v>17905919</c:v>
                </c:pt>
                <c:pt idx="11">
                  <c:v>7866200</c:v>
                </c:pt>
                <c:pt idx="12">
                  <c:v>1627867</c:v>
                </c:pt>
                <c:pt idx="13">
                  <c:v>369860391</c:v>
                </c:pt>
                <c:pt idx="14">
                  <c:v>3488533</c:v>
                </c:pt>
                <c:pt idx="15">
                  <c:v>11976400</c:v>
                </c:pt>
                <c:pt idx="16">
                  <c:v>15763400</c:v>
                </c:pt>
                <c:pt idx="17">
                  <c:v>7744000</c:v>
                </c:pt>
                <c:pt idx="18">
                  <c:v>69316</c:v>
                </c:pt>
                <c:pt idx="19">
                  <c:v>16847</c:v>
                </c:pt>
                <c:pt idx="20">
                  <c:v>25718701</c:v>
                </c:pt>
                <c:pt idx="21">
                  <c:v>28739800</c:v>
                </c:pt>
                <c:pt idx="22">
                  <c:v>756227</c:v>
                </c:pt>
                <c:pt idx="23">
                  <c:v>970841</c:v>
                </c:pt>
                <c:pt idx="24">
                  <c:v>297936</c:v>
                </c:pt>
                <c:pt idx="25">
                  <c:v>606564</c:v>
                </c:pt>
                <c:pt idx="26">
                  <c:v>11416133</c:v>
                </c:pt>
                <c:pt idx="27">
                  <c:v>290092</c:v>
                </c:pt>
                <c:pt idx="28">
                  <c:v>6612933</c:v>
                </c:pt>
                <c:pt idx="29">
                  <c:v>24532800</c:v>
                </c:pt>
                <c:pt idx="30">
                  <c:v>157033</c:v>
                </c:pt>
                <c:pt idx="31">
                  <c:v>16237200</c:v>
                </c:pt>
                <c:pt idx="32">
                  <c:v>8694400</c:v>
                </c:pt>
                <c:pt idx="33">
                  <c:v>899784</c:v>
                </c:pt>
                <c:pt idx="34">
                  <c:v>72355460</c:v>
                </c:pt>
                <c:pt idx="35">
                  <c:v>2917200</c:v>
                </c:pt>
                <c:pt idx="36">
                  <c:v>22135800</c:v>
                </c:pt>
              </c:numCache>
            </c:numRef>
          </c:val>
          <c:extLst>
            <c:ext xmlns:c16="http://schemas.microsoft.com/office/drawing/2014/chart" uri="{C3380CC4-5D6E-409C-BE32-E72D297353CC}">
              <c16:uniqueId val="{00000000-7208-4EFC-B596-E8D9B5882CB0}"/>
            </c:ext>
          </c:extLst>
        </c:ser>
        <c:dLbls>
          <c:showLegendKey val="0"/>
          <c:showVal val="0"/>
          <c:showCatName val="0"/>
          <c:showSerName val="0"/>
          <c:showPercent val="0"/>
          <c:showBubbleSize val="0"/>
        </c:dLbls>
        <c:axId val="659027535"/>
        <c:axId val="659030895"/>
      </c:areaChart>
      <c:catAx>
        <c:axId val="659027535"/>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59030895"/>
        <c:crosses val="autoZero"/>
        <c:auto val="1"/>
        <c:lblAlgn val="ctr"/>
        <c:lblOffset val="100"/>
        <c:noMultiLvlLbl val="0"/>
      </c:catAx>
      <c:valAx>
        <c:axId val="65903089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5902753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[Population by region and by age.xlsm]Overall_Population_Pivot!PivotTable1</c:name>
    <c:fmtId val="29"/>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Overall_Population_Pivot!$B$3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DF6-467E-B103-67B1A688159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DF6-467E-B103-67B1A688159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DF6-467E-B103-67B1A688159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DF6-467E-B103-67B1A6881596}"/>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DF6-467E-B103-67B1A6881596}"/>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FDF6-467E-B103-67B1A6881596}"/>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FDF6-467E-B103-67B1A6881596}"/>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FDF6-467E-B103-67B1A6881596}"/>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FDF6-467E-B103-67B1A6881596}"/>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FDF6-467E-B103-67B1A6881596}"/>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FDF6-467E-B103-67B1A6881596}"/>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FDF6-467E-B103-67B1A6881596}"/>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FDF6-467E-B103-67B1A6881596}"/>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FDF6-467E-B103-67B1A6881596}"/>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FDF6-467E-B103-67B1A6881596}"/>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FDF6-467E-B103-67B1A6881596}"/>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FDF6-467E-B103-67B1A6881596}"/>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FDF6-467E-B103-67B1A6881596}"/>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FDF6-467E-B103-67B1A6881596}"/>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FDF6-467E-B103-67B1A6881596}"/>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FDF6-467E-B103-67B1A6881596}"/>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FDF6-467E-B103-67B1A6881596}"/>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FDF6-467E-B103-67B1A6881596}"/>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FDF6-467E-B103-67B1A6881596}"/>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FDF6-467E-B103-67B1A6881596}"/>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FDF6-467E-B103-67B1A6881596}"/>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FDF6-467E-B103-67B1A6881596}"/>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FDF6-467E-B103-67B1A6881596}"/>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FDF6-467E-B103-67B1A6881596}"/>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FDF6-467E-B103-67B1A6881596}"/>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FDF6-467E-B103-67B1A6881596}"/>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FDF6-467E-B103-67B1A6881596}"/>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FDF6-467E-B103-67B1A6881596}"/>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FDF6-467E-B103-67B1A6881596}"/>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FDF6-467E-B103-67B1A6881596}"/>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FDF6-467E-B103-67B1A6881596}"/>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FDF6-467E-B103-67B1A6881596}"/>
              </c:ext>
            </c:extLst>
          </c:dPt>
          <c:cat>
            <c:strRef>
              <c:f>Overall_Population_Pivot!$A$4:$A$41</c:f>
              <c:strCache>
                <c:ptCount val="37"/>
                <c:pt idx="0">
                  <c:v>Andaman and Nicobar Islands</c:v>
                </c:pt>
                <c:pt idx="1">
                  <c:v>Andhra Pradesh</c:v>
                </c:pt>
                <c:pt idx="2">
                  <c:v>Arunachal Pradesh</c:v>
                </c:pt>
                <c:pt idx="3">
                  <c:v>Assam</c:v>
                </c:pt>
                <c:pt idx="4">
                  <c:v>Bihar</c:v>
                </c:pt>
                <c:pt idx="5">
                  <c:v>Chandigarh</c:v>
                </c:pt>
                <c:pt idx="6">
                  <c:v>Chhattisgarh</c:v>
                </c:pt>
                <c:pt idx="7">
                  <c:v>Dadra and Nagar Haveli and Daman and Diu</c:v>
                </c:pt>
                <c:pt idx="8">
                  <c:v>Delhi</c:v>
                </c:pt>
                <c:pt idx="9">
                  <c:v>Goa</c:v>
                </c:pt>
                <c:pt idx="10">
                  <c:v>Gujarat</c:v>
                </c:pt>
                <c:pt idx="11">
                  <c:v>Haryana</c:v>
                </c:pt>
                <c:pt idx="12">
                  <c:v>Himachal Pradesh</c:v>
                </c:pt>
                <c:pt idx="13">
                  <c:v>India</c:v>
                </c:pt>
                <c:pt idx="14">
                  <c:v>Jammu and Kashmir</c:v>
                </c:pt>
                <c:pt idx="15">
                  <c:v>Jharkhand</c:v>
                </c:pt>
                <c:pt idx="16">
                  <c:v>Karnataka</c:v>
                </c:pt>
                <c:pt idx="17">
                  <c:v>Kerala</c:v>
                </c:pt>
                <c:pt idx="18">
                  <c:v>Ladakh</c:v>
                </c:pt>
                <c:pt idx="19">
                  <c:v>Lakshadweep</c:v>
                </c:pt>
                <c:pt idx="20">
                  <c:v>Madhya Pradesh</c:v>
                </c:pt>
                <c:pt idx="21">
                  <c:v>Maharashtra</c:v>
                </c:pt>
                <c:pt idx="22">
                  <c:v>Manipur</c:v>
                </c:pt>
                <c:pt idx="23">
                  <c:v>Meghalaya</c:v>
                </c:pt>
                <c:pt idx="24">
                  <c:v>Mizoram</c:v>
                </c:pt>
                <c:pt idx="25">
                  <c:v>Nagaland</c:v>
                </c:pt>
                <c:pt idx="26">
                  <c:v>Odisha</c:v>
                </c:pt>
                <c:pt idx="27">
                  <c:v>Puducherry</c:v>
                </c:pt>
                <c:pt idx="28">
                  <c:v>Punjab</c:v>
                </c:pt>
                <c:pt idx="29">
                  <c:v>Rajasthan</c:v>
                </c:pt>
                <c:pt idx="30">
                  <c:v>Sikkim</c:v>
                </c:pt>
                <c:pt idx="31">
                  <c:v>Tamil Nadu</c:v>
                </c:pt>
                <c:pt idx="32">
                  <c:v>Telangana</c:v>
                </c:pt>
                <c:pt idx="33">
                  <c:v>Tripura</c:v>
                </c:pt>
                <c:pt idx="34">
                  <c:v>Uttar Pradesh</c:v>
                </c:pt>
                <c:pt idx="35">
                  <c:v>Uttarakhand</c:v>
                </c:pt>
                <c:pt idx="36">
                  <c:v>West Bengal</c:v>
                </c:pt>
              </c:strCache>
            </c:strRef>
          </c:cat>
          <c:val>
            <c:numRef>
              <c:f>Overall_Population_Pivot!$B$4:$B$41</c:f>
              <c:numCache>
                <c:formatCode>General</c:formatCode>
                <c:ptCount val="37"/>
                <c:pt idx="0">
                  <c:v>89501</c:v>
                </c:pt>
                <c:pt idx="1">
                  <c:v>11591800</c:v>
                </c:pt>
                <c:pt idx="2">
                  <c:v>433688</c:v>
                </c:pt>
                <c:pt idx="3">
                  <c:v>9978200</c:v>
                </c:pt>
                <c:pt idx="4">
                  <c:v>43355477</c:v>
                </c:pt>
                <c:pt idx="5">
                  <c:v>271791</c:v>
                </c:pt>
                <c:pt idx="6">
                  <c:v>8543467</c:v>
                </c:pt>
                <c:pt idx="7">
                  <c:v>172964</c:v>
                </c:pt>
                <c:pt idx="8">
                  <c:v>5306108</c:v>
                </c:pt>
                <c:pt idx="9">
                  <c:v>320012</c:v>
                </c:pt>
                <c:pt idx="10">
                  <c:v>17905919</c:v>
                </c:pt>
                <c:pt idx="11">
                  <c:v>7866200</c:v>
                </c:pt>
                <c:pt idx="12">
                  <c:v>1627867</c:v>
                </c:pt>
                <c:pt idx="13">
                  <c:v>369860391</c:v>
                </c:pt>
                <c:pt idx="14">
                  <c:v>3488533</c:v>
                </c:pt>
                <c:pt idx="15">
                  <c:v>11976400</c:v>
                </c:pt>
                <c:pt idx="16">
                  <c:v>15763400</c:v>
                </c:pt>
                <c:pt idx="17">
                  <c:v>7744000</c:v>
                </c:pt>
                <c:pt idx="18">
                  <c:v>69316</c:v>
                </c:pt>
                <c:pt idx="19">
                  <c:v>16847</c:v>
                </c:pt>
                <c:pt idx="20">
                  <c:v>25718701</c:v>
                </c:pt>
                <c:pt idx="21">
                  <c:v>28739800</c:v>
                </c:pt>
                <c:pt idx="22">
                  <c:v>756227</c:v>
                </c:pt>
                <c:pt idx="23">
                  <c:v>970841</c:v>
                </c:pt>
                <c:pt idx="24">
                  <c:v>297936</c:v>
                </c:pt>
                <c:pt idx="25">
                  <c:v>606564</c:v>
                </c:pt>
                <c:pt idx="26">
                  <c:v>11416133</c:v>
                </c:pt>
                <c:pt idx="27">
                  <c:v>290092</c:v>
                </c:pt>
                <c:pt idx="28">
                  <c:v>6612933</c:v>
                </c:pt>
                <c:pt idx="29">
                  <c:v>24532800</c:v>
                </c:pt>
                <c:pt idx="30">
                  <c:v>157033</c:v>
                </c:pt>
                <c:pt idx="31">
                  <c:v>16237200</c:v>
                </c:pt>
                <c:pt idx="32">
                  <c:v>8694400</c:v>
                </c:pt>
                <c:pt idx="33">
                  <c:v>899784</c:v>
                </c:pt>
                <c:pt idx="34">
                  <c:v>72355460</c:v>
                </c:pt>
                <c:pt idx="35">
                  <c:v>2917200</c:v>
                </c:pt>
                <c:pt idx="36">
                  <c:v>22135800</c:v>
                </c:pt>
              </c:numCache>
            </c:numRef>
          </c:val>
          <c:extLst>
            <c:ext xmlns:c16="http://schemas.microsoft.com/office/drawing/2014/chart" uri="{C3380CC4-5D6E-409C-BE32-E72D297353CC}">
              <c16:uniqueId val="{0000004A-FDF6-467E-B103-67B1A688159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[Population by region and by age.xlsm]Overall_Boys_Population_Pivot!PivotTable2</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Overall_Boys_Population_Pivot!$B$3</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Overall_Boys_Population_Pivot!$A$4:$A$41</c:f>
              <c:strCache>
                <c:ptCount val="37"/>
                <c:pt idx="0">
                  <c:v>Andaman and Nicobar Islands</c:v>
                </c:pt>
                <c:pt idx="1">
                  <c:v>Andhra Pradesh</c:v>
                </c:pt>
                <c:pt idx="2">
                  <c:v>Arunachal Pradesh</c:v>
                </c:pt>
                <c:pt idx="3">
                  <c:v>Assam</c:v>
                </c:pt>
                <c:pt idx="4">
                  <c:v>Bihar</c:v>
                </c:pt>
                <c:pt idx="5">
                  <c:v>Chandigarh</c:v>
                </c:pt>
                <c:pt idx="6">
                  <c:v>Chhattisgarh</c:v>
                </c:pt>
                <c:pt idx="7">
                  <c:v>Dadra and Nagar Haveli and Daman and Diu</c:v>
                </c:pt>
                <c:pt idx="8">
                  <c:v>Delhi</c:v>
                </c:pt>
                <c:pt idx="9">
                  <c:v>Goa</c:v>
                </c:pt>
                <c:pt idx="10">
                  <c:v>Gujarat</c:v>
                </c:pt>
                <c:pt idx="11">
                  <c:v>Haryana</c:v>
                </c:pt>
                <c:pt idx="12">
                  <c:v>Himachal Pradesh</c:v>
                </c:pt>
                <c:pt idx="13">
                  <c:v>India</c:v>
                </c:pt>
                <c:pt idx="14">
                  <c:v>Jammu and Kashmir</c:v>
                </c:pt>
                <c:pt idx="15">
                  <c:v>Jharkhand</c:v>
                </c:pt>
                <c:pt idx="16">
                  <c:v>Karnataka</c:v>
                </c:pt>
                <c:pt idx="17">
                  <c:v>Kerala</c:v>
                </c:pt>
                <c:pt idx="18">
                  <c:v>Ladakh</c:v>
                </c:pt>
                <c:pt idx="19">
                  <c:v>Lakshadweep</c:v>
                </c:pt>
                <c:pt idx="20">
                  <c:v>Madhya Pradesh</c:v>
                </c:pt>
                <c:pt idx="21">
                  <c:v>Maharashtra</c:v>
                </c:pt>
                <c:pt idx="22">
                  <c:v>Manipur</c:v>
                </c:pt>
                <c:pt idx="23">
                  <c:v>Meghalaya</c:v>
                </c:pt>
                <c:pt idx="24">
                  <c:v>Mizoram</c:v>
                </c:pt>
                <c:pt idx="25">
                  <c:v>Nagaland</c:v>
                </c:pt>
                <c:pt idx="26">
                  <c:v>Odisha</c:v>
                </c:pt>
                <c:pt idx="27">
                  <c:v>Puducherry</c:v>
                </c:pt>
                <c:pt idx="28">
                  <c:v>Punjab</c:v>
                </c:pt>
                <c:pt idx="29">
                  <c:v>Rajasthan</c:v>
                </c:pt>
                <c:pt idx="30">
                  <c:v>Sikkim</c:v>
                </c:pt>
                <c:pt idx="31">
                  <c:v>Tamil Nadu</c:v>
                </c:pt>
                <c:pt idx="32">
                  <c:v>Telangana</c:v>
                </c:pt>
                <c:pt idx="33">
                  <c:v>Tripura</c:v>
                </c:pt>
                <c:pt idx="34">
                  <c:v>Uttar Pradesh</c:v>
                </c:pt>
                <c:pt idx="35">
                  <c:v>Uttarakhand</c:v>
                </c:pt>
                <c:pt idx="36">
                  <c:v>West Bengal</c:v>
                </c:pt>
              </c:strCache>
            </c:strRef>
          </c:cat>
          <c:val>
            <c:numRef>
              <c:f>Overall_Boys_Population_Pivot!$B$4:$B$41</c:f>
              <c:numCache>
                <c:formatCode>General</c:formatCode>
                <c:ptCount val="37"/>
                <c:pt idx="0">
                  <c:v>89501</c:v>
                </c:pt>
                <c:pt idx="1">
                  <c:v>11591800</c:v>
                </c:pt>
                <c:pt idx="2">
                  <c:v>433688</c:v>
                </c:pt>
                <c:pt idx="3">
                  <c:v>9978200</c:v>
                </c:pt>
                <c:pt idx="4">
                  <c:v>43355477</c:v>
                </c:pt>
                <c:pt idx="5">
                  <c:v>271791</c:v>
                </c:pt>
                <c:pt idx="6">
                  <c:v>8543467</c:v>
                </c:pt>
                <c:pt idx="7">
                  <c:v>172964</c:v>
                </c:pt>
                <c:pt idx="8">
                  <c:v>5306108</c:v>
                </c:pt>
                <c:pt idx="9">
                  <c:v>320012</c:v>
                </c:pt>
                <c:pt idx="10">
                  <c:v>17905919</c:v>
                </c:pt>
                <c:pt idx="11">
                  <c:v>7866200</c:v>
                </c:pt>
                <c:pt idx="12">
                  <c:v>1627867</c:v>
                </c:pt>
                <c:pt idx="13">
                  <c:v>369860391</c:v>
                </c:pt>
                <c:pt idx="14">
                  <c:v>3488533</c:v>
                </c:pt>
                <c:pt idx="15">
                  <c:v>11976400</c:v>
                </c:pt>
                <c:pt idx="16">
                  <c:v>15763400</c:v>
                </c:pt>
                <c:pt idx="17">
                  <c:v>7744000</c:v>
                </c:pt>
                <c:pt idx="18">
                  <c:v>69316</c:v>
                </c:pt>
                <c:pt idx="19">
                  <c:v>16847</c:v>
                </c:pt>
                <c:pt idx="20">
                  <c:v>25718701</c:v>
                </c:pt>
                <c:pt idx="21">
                  <c:v>28739800</c:v>
                </c:pt>
                <c:pt idx="22">
                  <c:v>756227</c:v>
                </c:pt>
                <c:pt idx="23">
                  <c:v>970841</c:v>
                </c:pt>
                <c:pt idx="24">
                  <c:v>297936</c:v>
                </c:pt>
                <c:pt idx="25">
                  <c:v>606564</c:v>
                </c:pt>
                <c:pt idx="26">
                  <c:v>11416133</c:v>
                </c:pt>
                <c:pt idx="27">
                  <c:v>290092</c:v>
                </c:pt>
                <c:pt idx="28">
                  <c:v>6612933</c:v>
                </c:pt>
                <c:pt idx="29">
                  <c:v>24532800</c:v>
                </c:pt>
                <c:pt idx="30">
                  <c:v>157033</c:v>
                </c:pt>
                <c:pt idx="31">
                  <c:v>16237200</c:v>
                </c:pt>
                <c:pt idx="32">
                  <c:v>8694400</c:v>
                </c:pt>
                <c:pt idx="33">
                  <c:v>899784</c:v>
                </c:pt>
                <c:pt idx="34">
                  <c:v>72355460</c:v>
                </c:pt>
                <c:pt idx="35">
                  <c:v>2917200</c:v>
                </c:pt>
                <c:pt idx="36">
                  <c:v>22135800</c:v>
                </c:pt>
              </c:numCache>
            </c:numRef>
          </c:val>
          <c:extLst>
            <c:ext xmlns:c16="http://schemas.microsoft.com/office/drawing/2014/chart" uri="{C3380CC4-5D6E-409C-BE32-E72D297353CC}">
              <c16:uniqueId val="{00000000-19BC-4EED-8B30-63669BBAF5A3}"/>
            </c:ext>
          </c:extLst>
        </c:ser>
        <c:dLbls>
          <c:showLegendKey val="0"/>
          <c:showVal val="0"/>
          <c:showCatName val="0"/>
          <c:showSerName val="0"/>
          <c:showPercent val="0"/>
          <c:showBubbleSize val="0"/>
        </c:dLbls>
        <c:gapWidth val="150"/>
        <c:shape val="box"/>
        <c:axId val="1982207535"/>
        <c:axId val="1982217135"/>
        <c:axId val="0"/>
      </c:bar3DChart>
      <c:catAx>
        <c:axId val="19822075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82217135"/>
        <c:crosses val="autoZero"/>
        <c:auto val="1"/>
        <c:lblAlgn val="ctr"/>
        <c:lblOffset val="100"/>
        <c:noMultiLvlLbl val="0"/>
      </c:catAx>
      <c:valAx>
        <c:axId val="198221713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822075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[Population by region and by age.xlsm]Overall_Boys_Population_Pivot!PivotTable2</c:name>
    <c:fmtId val="7"/>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Overall_Boys_Population_Pivot!$B$3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185B-4FDF-A16C-7E1C0F14D73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185B-4FDF-A16C-7E1C0F14D73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185B-4FDF-A16C-7E1C0F14D73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185B-4FDF-A16C-7E1C0F14D73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185B-4FDF-A16C-7E1C0F14D732}"/>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185B-4FDF-A16C-7E1C0F14D732}"/>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185B-4FDF-A16C-7E1C0F14D732}"/>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185B-4FDF-A16C-7E1C0F14D732}"/>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185B-4FDF-A16C-7E1C0F14D732}"/>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185B-4FDF-A16C-7E1C0F14D732}"/>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185B-4FDF-A16C-7E1C0F14D732}"/>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7-185B-4FDF-A16C-7E1C0F14D732}"/>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9-185B-4FDF-A16C-7E1C0F14D732}"/>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B-185B-4FDF-A16C-7E1C0F14D732}"/>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D-185B-4FDF-A16C-7E1C0F14D732}"/>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F-185B-4FDF-A16C-7E1C0F14D732}"/>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1-185B-4FDF-A16C-7E1C0F14D732}"/>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3-185B-4FDF-A16C-7E1C0F14D732}"/>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5-185B-4FDF-A16C-7E1C0F14D732}"/>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7-185B-4FDF-A16C-7E1C0F14D732}"/>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9-185B-4FDF-A16C-7E1C0F14D732}"/>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B-185B-4FDF-A16C-7E1C0F14D732}"/>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D-185B-4FDF-A16C-7E1C0F14D732}"/>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F-185B-4FDF-A16C-7E1C0F14D732}"/>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1-185B-4FDF-A16C-7E1C0F14D732}"/>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3-185B-4FDF-A16C-7E1C0F14D732}"/>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5-185B-4FDF-A16C-7E1C0F14D732}"/>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7-185B-4FDF-A16C-7E1C0F14D732}"/>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9-185B-4FDF-A16C-7E1C0F14D732}"/>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B-185B-4FDF-A16C-7E1C0F14D732}"/>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D-185B-4FDF-A16C-7E1C0F14D732}"/>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F-185B-4FDF-A16C-7E1C0F14D732}"/>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1-185B-4FDF-A16C-7E1C0F14D732}"/>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3-185B-4FDF-A16C-7E1C0F14D732}"/>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5-185B-4FDF-A16C-7E1C0F14D732}"/>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7-185B-4FDF-A16C-7E1C0F14D732}"/>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9-185B-4FDF-A16C-7E1C0F14D732}"/>
              </c:ext>
            </c:extLst>
          </c:dPt>
          <c:cat>
            <c:strRef>
              <c:f>Overall_Boys_Population_Pivot!$A$4:$A$41</c:f>
              <c:strCache>
                <c:ptCount val="37"/>
                <c:pt idx="0">
                  <c:v>Andaman and Nicobar Islands</c:v>
                </c:pt>
                <c:pt idx="1">
                  <c:v>Andhra Pradesh</c:v>
                </c:pt>
                <c:pt idx="2">
                  <c:v>Arunachal Pradesh</c:v>
                </c:pt>
                <c:pt idx="3">
                  <c:v>Assam</c:v>
                </c:pt>
                <c:pt idx="4">
                  <c:v>Bihar</c:v>
                </c:pt>
                <c:pt idx="5">
                  <c:v>Chandigarh</c:v>
                </c:pt>
                <c:pt idx="6">
                  <c:v>Chhattisgarh</c:v>
                </c:pt>
                <c:pt idx="7">
                  <c:v>Dadra and Nagar Haveli and Daman and Diu</c:v>
                </c:pt>
                <c:pt idx="8">
                  <c:v>Delhi</c:v>
                </c:pt>
                <c:pt idx="9">
                  <c:v>Goa</c:v>
                </c:pt>
                <c:pt idx="10">
                  <c:v>Gujarat</c:v>
                </c:pt>
                <c:pt idx="11">
                  <c:v>Haryana</c:v>
                </c:pt>
                <c:pt idx="12">
                  <c:v>Himachal Pradesh</c:v>
                </c:pt>
                <c:pt idx="13">
                  <c:v>India</c:v>
                </c:pt>
                <c:pt idx="14">
                  <c:v>Jammu and Kashmir</c:v>
                </c:pt>
                <c:pt idx="15">
                  <c:v>Jharkhand</c:v>
                </c:pt>
                <c:pt idx="16">
                  <c:v>Karnataka</c:v>
                </c:pt>
                <c:pt idx="17">
                  <c:v>Kerala</c:v>
                </c:pt>
                <c:pt idx="18">
                  <c:v>Ladakh</c:v>
                </c:pt>
                <c:pt idx="19">
                  <c:v>Lakshadweep</c:v>
                </c:pt>
                <c:pt idx="20">
                  <c:v>Madhya Pradesh</c:v>
                </c:pt>
                <c:pt idx="21">
                  <c:v>Maharashtra</c:v>
                </c:pt>
                <c:pt idx="22">
                  <c:v>Manipur</c:v>
                </c:pt>
                <c:pt idx="23">
                  <c:v>Meghalaya</c:v>
                </c:pt>
                <c:pt idx="24">
                  <c:v>Mizoram</c:v>
                </c:pt>
                <c:pt idx="25">
                  <c:v>Nagaland</c:v>
                </c:pt>
                <c:pt idx="26">
                  <c:v>Odisha</c:v>
                </c:pt>
                <c:pt idx="27">
                  <c:v>Puducherry</c:v>
                </c:pt>
                <c:pt idx="28">
                  <c:v>Punjab</c:v>
                </c:pt>
                <c:pt idx="29">
                  <c:v>Rajasthan</c:v>
                </c:pt>
                <c:pt idx="30">
                  <c:v>Sikkim</c:v>
                </c:pt>
                <c:pt idx="31">
                  <c:v>Tamil Nadu</c:v>
                </c:pt>
                <c:pt idx="32">
                  <c:v>Telangana</c:v>
                </c:pt>
                <c:pt idx="33">
                  <c:v>Tripura</c:v>
                </c:pt>
                <c:pt idx="34">
                  <c:v>Uttar Pradesh</c:v>
                </c:pt>
                <c:pt idx="35">
                  <c:v>Uttarakhand</c:v>
                </c:pt>
                <c:pt idx="36">
                  <c:v>West Bengal</c:v>
                </c:pt>
              </c:strCache>
            </c:strRef>
          </c:cat>
          <c:val>
            <c:numRef>
              <c:f>Overall_Boys_Population_Pivot!$B$4:$B$41</c:f>
              <c:numCache>
                <c:formatCode>General</c:formatCode>
                <c:ptCount val="37"/>
                <c:pt idx="0">
                  <c:v>89501</c:v>
                </c:pt>
                <c:pt idx="1">
                  <c:v>11591800</c:v>
                </c:pt>
                <c:pt idx="2">
                  <c:v>433688</c:v>
                </c:pt>
                <c:pt idx="3">
                  <c:v>9978200</c:v>
                </c:pt>
                <c:pt idx="4">
                  <c:v>43355477</c:v>
                </c:pt>
                <c:pt idx="5">
                  <c:v>271791</c:v>
                </c:pt>
                <c:pt idx="6">
                  <c:v>8543467</c:v>
                </c:pt>
                <c:pt idx="7">
                  <c:v>172964</c:v>
                </c:pt>
                <c:pt idx="8">
                  <c:v>5306108</c:v>
                </c:pt>
                <c:pt idx="9">
                  <c:v>320012</c:v>
                </c:pt>
                <c:pt idx="10">
                  <c:v>17905919</c:v>
                </c:pt>
                <c:pt idx="11">
                  <c:v>7866200</c:v>
                </c:pt>
                <c:pt idx="12">
                  <c:v>1627867</c:v>
                </c:pt>
                <c:pt idx="13">
                  <c:v>369860391</c:v>
                </c:pt>
                <c:pt idx="14">
                  <c:v>3488533</c:v>
                </c:pt>
                <c:pt idx="15">
                  <c:v>11976400</c:v>
                </c:pt>
                <c:pt idx="16">
                  <c:v>15763400</c:v>
                </c:pt>
                <c:pt idx="17">
                  <c:v>7744000</c:v>
                </c:pt>
                <c:pt idx="18">
                  <c:v>69316</c:v>
                </c:pt>
                <c:pt idx="19">
                  <c:v>16847</c:v>
                </c:pt>
                <c:pt idx="20">
                  <c:v>25718701</c:v>
                </c:pt>
                <c:pt idx="21">
                  <c:v>28739800</c:v>
                </c:pt>
                <c:pt idx="22">
                  <c:v>756227</c:v>
                </c:pt>
                <c:pt idx="23">
                  <c:v>970841</c:v>
                </c:pt>
                <c:pt idx="24">
                  <c:v>297936</c:v>
                </c:pt>
                <c:pt idx="25">
                  <c:v>606564</c:v>
                </c:pt>
                <c:pt idx="26">
                  <c:v>11416133</c:v>
                </c:pt>
                <c:pt idx="27">
                  <c:v>290092</c:v>
                </c:pt>
                <c:pt idx="28">
                  <c:v>6612933</c:v>
                </c:pt>
                <c:pt idx="29">
                  <c:v>24532800</c:v>
                </c:pt>
                <c:pt idx="30">
                  <c:v>157033</c:v>
                </c:pt>
                <c:pt idx="31">
                  <c:v>16237200</c:v>
                </c:pt>
                <c:pt idx="32">
                  <c:v>8694400</c:v>
                </c:pt>
                <c:pt idx="33">
                  <c:v>899784</c:v>
                </c:pt>
                <c:pt idx="34">
                  <c:v>72355460</c:v>
                </c:pt>
                <c:pt idx="35">
                  <c:v>2917200</c:v>
                </c:pt>
                <c:pt idx="36">
                  <c:v>22135800</c:v>
                </c:pt>
              </c:numCache>
            </c:numRef>
          </c:val>
          <c:extLst>
            <c:ext xmlns:c16="http://schemas.microsoft.com/office/drawing/2014/chart" uri="{C3380CC4-5D6E-409C-BE32-E72D297353CC}">
              <c16:uniqueId val="{0000004A-185B-4FDF-A16C-7E1C0F14D732}"/>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[Population by region and by age.xlsm]Overall_Girls_Population_Pivot!PivotTable3</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dk1">
              <a:lumMod val="50000"/>
              <a:lumOff val="50000"/>
            </a:schemeClr>
          </a:solidFill>
          <a:round/>
        </a:ln>
        <a:effectLst/>
        <a:sp3d contourW="9525">
          <a:contourClr>
            <a:schemeClr val="dk1">
              <a:lumMod val="50000"/>
              <a:lumOff val="50000"/>
            </a:schemeClr>
          </a:contourClr>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strRef>
              <c:f>Overall_Girls_Population_Pivot!$B$3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Ref>
              <c:f>Overall_Girls_Population_Pivot!$A$4:$A$41</c:f>
              <c:strCache>
                <c:ptCount val="37"/>
                <c:pt idx="0">
                  <c:v>Andaman and Nicobar Islands</c:v>
                </c:pt>
                <c:pt idx="1">
                  <c:v>Andhra Pradesh</c:v>
                </c:pt>
                <c:pt idx="2">
                  <c:v>Arunachal Pradesh</c:v>
                </c:pt>
                <c:pt idx="3">
                  <c:v>Assam</c:v>
                </c:pt>
                <c:pt idx="4">
                  <c:v>Bihar</c:v>
                </c:pt>
                <c:pt idx="5">
                  <c:v>Chandigarh</c:v>
                </c:pt>
                <c:pt idx="6">
                  <c:v>Chhattisgarh</c:v>
                </c:pt>
                <c:pt idx="7">
                  <c:v>Dadra and Nagar Haveli and Daman and Diu</c:v>
                </c:pt>
                <c:pt idx="8">
                  <c:v>Delhi</c:v>
                </c:pt>
                <c:pt idx="9">
                  <c:v>Goa</c:v>
                </c:pt>
                <c:pt idx="10">
                  <c:v>Gujarat</c:v>
                </c:pt>
                <c:pt idx="11">
                  <c:v>Haryana</c:v>
                </c:pt>
                <c:pt idx="12">
                  <c:v>Himachal Pradesh</c:v>
                </c:pt>
                <c:pt idx="13">
                  <c:v>India</c:v>
                </c:pt>
                <c:pt idx="14">
                  <c:v>Jammu and Kashmir</c:v>
                </c:pt>
                <c:pt idx="15">
                  <c:v>Jharkhand</c:v>
                </c:pt>
                <c:pt idx="16">
                  <c:v>Karnataka</c:v>
                </c:pt>
                <c:pt idx="17">
                  <c:v>Kerala</c:v>
                </c:pt>
                <c:pt idx="18">
                  <c:v>Ladakh</c:v>
                </c:pt>
                <c:pt idx="19">
                  <c:v>Lakshadweep</c:v>
                </c:pt>
                <c:pt idx="20">
                  <c:v>Madhya Pradesh</c:v>
                </c:pt>
                <c:pt idx="21">
                  <c:v>Maharashtra</c:v>
                </c:pt>
                <c:pt idx="22">
                  <c:v>Manipur</c:v>
                </c:pt>
                <c:pt idx="23">
                  <c:v>Meghalaya</c:v>
                </c:pt>
                <c:pt idx="24">
                  <c:v>Mizoram</c:v>
                </c:pt>
                <c:pt idx="25">
                  <c:v>Nagaland</c:v>
                </c:pt>
                <c:pt idx="26">
                  <c:v>Odisha</c:v>
                </c:pt>
                <c:pt idx="27">
                  <c:v>Puducherry</c:v>
                </c:pt>
                <c:pt idx="28">
                  <c:v>Punjab</c:v>
                </c:pt>
                <c:pt idx="29">
                  <c:v>Rajasthan</c:v>
                </c:pt>
                <c:pt idx="30">
                  <c:v>Sikkim</c:v>
                </c:pt>
                <c:pt idx="31">
                  <c:v>Tamil Nadu</c:v>
                </c:pt>
                <c:pt idx="32">
                  <c:v>Telangana</c:v>
                </c:pt>
                <c:pt idx="33">
                  <c:v>Tripura</c:v>
                </c:pt>
                <c:pt idx="34">
                  <c:v>Uttar Pradesh</c:v>
                </c:pt>
                <c:pt idx="35">
                  <c:v>Uttarakhand</c:v>
                </c:pt>
                <c:pt idx="36">
                  <c:v>West Bengal</c:v>
                </c:pt>
              </c:strCache>
            </c:strRef>
          </c:cat>
          <c:val>
            <c:numRef>
              <c:f>Overall_Girls_Population_Pivot!$B$4:$B$41</c:f>
              <c:numCache>
                <c:formatCode>General</c:formatCode>
                <c:ptCount val="37"/>
                <c:pt idx="0">
                  <c:v>89501</c:v>
                </c:pt>
                <c:pt idx="1">
                  <c:v>11591800</c:v>
                </c:pt>
                <c:pt idx="2">
                  <c:v>433688</c:v>
                </c:pt>
                <c:pt idx="3">
                  <c:v>9978200</c:v>
                </c:pt>
                <c:pt idx="4">
                  <c:v>43355477</c:v>
                </c:pt>
                <c:pt idx="5">
                  <c:v>271791</c:v>
                </c:pt>
                <c:pt idx="6">
                  <c:v>8543467</c:v>
                </c:pt>
                <c:pt idx="7">
                  <c:v>172964</c:v>
                </c:pt>
                <c:pt idx="8">
                  <c:v>5306108</c:v>
                </c:pt>
                <c:pt idx="9">
                  <c:v>320012</c:v>
                </c:pt>
                <c:pt idx="10">
                  <c:v>17905919</c:v>
                </c:pt>
                <c:pt idx="11">
                  <c:v>7866200</c:v>
                </c:pt>
                <c:pt idx="12">
                  <c:v>1627867</c:v>
                </c:pt>
                <c:pt idx="13">
                  <c:v>369860391</c:v>
                </c:pt>
                <c:pt idx="14">
                  <c:v>3488533</c:v>
                </c:pt>
                <c:pt idx="15">
                  <c:v>11976400</c:v>
                </c:pt>
                <c:pt idx="16">
                  <c:v>15763400</c:v>
                </c:pt>
                <c:pt idx="17">
                  <c:v>7744000</c:v>
                </c:pt>
                <c:pt idx="18">
                  <c:v>69316</c:v>
                </c:pt>
                <c:pt idx="19">
                  <c:v>16847</c:v>
                </c:pt>
                <c:pt idx="20">
                  <c:v>25718701</c:v>
                </c:pt>
                <c:pt idx="21">
                  <c:v>28739800</c:v>
                </c:pt>
                <c:pt idx="22">
                  <c:v>756227</c:v>
                </c:pt>
                <c:pt idx="23">
                  <c:v>970841</c:v>
                </c:pt>
                <c:pt idx="24">
                  <c:v>297936</c:v>
                </c:pt>
                <c:pt idx="25">
                  <c:v>606564</c:v>
                </c:pt>
                <c:pt idx="26">
                  <c:v>11416133</c:v>
                </c:pt>
                <c:pt idx="27">
                  <c:v>290092</c:v>
                </c:pt>
                <c:pt idx="28">
                  <c:v>6612933</c:v>
                </c:pt>
                <c:pt idx="29">
                  <c:v>24532800</c:v>
                </c:pt>
                <c:pt idx="30">
                  <c:v>157033</c:v>
                </c:pt>
                <c:pt idx="31">
                  <c:v>16237200</c:v>
                </c:pt>
                <c:pt idx="32">
                  <c:v>8694400</c:v>
                </c:pt>
                <c:pt idx="33">
                  <c:v>899784</c:v>
                </c:pt>
                <c:pt idx="34">
                  <c:v>72355460</c:v>
                </c:pt>
                <c:pt idx="35">
                  <c:v>2917200</c:v>
                </c:pt>
                <c:pt idx="36">
                  <c:v>22135800</c:v>
                </c:pt>
              </c:numCache>
            </c:numRef>
          </c:val>
          <c:extLst>
            <c:ext xmlns:c16="http://schemas.microsoft.com/office/drawing/2014/chart" uri="{C3380CC4-5D6E-409C-BE32-E72D297353CC}">
              <c16:uniqueId val="{00000000-5141-4792-8BBA-CBEA25AC8029}"/>
            </c:ext>
          </c:extLst>
        </c:ser>
        <c:dLbls>
          <c:showLegendKey val="0"/>
          <c:showVal val="0"/>
          <c:showCatName val="0"/>
          <c:showSerName val="0"/>
          <c:showPercent val="0"/>
          <c:showBubbleSize val="0"/>
        </c:dLbls>
        <c:axId val="1993119215"/>
        <c:axId val="1993110575"/>
        <c:axId val="0"/>
      </c:area3DChart>
      <c:catAx>
        <c:axId val="1993119215"/>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93110575"/>
        <c:crosses val="autoZero"/>
        <c:auto val="1"/>
        <c:lblAlgn val="ctr"/>
        <c:lblOffset val="100"/>
        <c:noMultiLvlLbl val="0"/>
      </c:catAx>
      <c:valAx>
        <c:axId val="1993110575"/>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9311921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[Population by region and by age.xlsm]Overall_Girls_Population_Pivot!PivotTable3</c:name>
    <c:fmtId val="7"/>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Overall_Girls_Population_Pivot!$B$3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442-41EA-8EF9-F0098507E6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442-41EA-8EF9-F0098507E6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442-41EA-8EF9-F0098507E6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A442-41EA-8EF9-F0098507E6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A442-41EA-8EF9-F0098507E6A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A442-41EA-8EF9-F0098507E6A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A442-41EA-8EF9-F0098507E6AA}"/>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A442-41EA-8EF9-F0098507E6AA}"/>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A442-41EA-8EF9-F0098507E6AA}"/>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A442-41EA-8EF9-F0098507E6AA}"/>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A442-41EA-8EF9-F0098507E6AA}"/>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A442-41EA-8EF9-F0098507E6AA}"/>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A442-41EA-8EF9-F0098507E6AA}"/>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A442-41EA-8EF9-F0098507E6AA}"/>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A442-41EA-8EF9-F0098507E6AA}"/>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A442-41EA-8EF9-F0098507E6AA}"/>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A442-41EA-8EF9-F0098507E6AA}"/>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A442-41EA-8EF9-F0098507E6AA}"/>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A442-41EA-8EF9-F0098507E6AA}"/>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A442-41EA-8EF9-F0098507E6AA}"/>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A442-41EA-8EF9-F0098507E6AA}"/>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A442-41EA-8EF9-F0098507E6AA}"/>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A442-41EA-8EF9-F0098507E6AA}"/>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A442-41EA-8EF9-F0098507E6AA}"/>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A442-41EA-8EF9-F0098507E6AA}"/>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A442-41EA-8EF9-F0098507E6AA}"/>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A442-41EA-8EF9-F0098507E6AA}"/>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A442-41EA-8EF9-F0098507E6AA}"/>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A442-41EA-8EF9-F0098507E6AA}"/>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A442-41EA-8EF9-F0098507E6AA}"/>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A442-41EA-8EF9-F0098507E6AA}"/>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A442-41EA-8EF9-F0098507E6AA}"/>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A442-41EA-8EF9-F0098507E6AA}"/>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A442-41EA-8EF9-F0098507E6AA}"/>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A442-41EA-8EF9-F0098507E6AA}"/>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A442-41EA-8EF9-F0098507E6AA}"/>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A442-41EA-8EF9-F0098507E6AA}"/>
              </c:ext>
            </c:extLst>
          </c:dPt>
          <c:cat>
            <c:strRef>
              <c:f>Overall_Girls_Population_Pivot!$A$4:$A$41</c:f>
              <c:strCache>
                <c:ptCount val="37"/>
                <c:pt idx="0">
                  <c:v>Andaman and Nicobar Islands</c:v>
                </c:pt>
                <c:pt idx="1">
                  <c:v>Andhra Pradesh</c:v>
                </c:pt>
                <c:pt idx="2">
                  <c:v>Arunachal Pradesh</c:v>
                </c:pt>
                <c:pt idx="3">
                  <c:v>Assam</c:v>
                </c:pt>
                <c:pt idx="4">
                  <c:v>Bihar</c:v>
                </c:pt>
                <c:pt idx="5">
                  <c:v>Chandigarh</c:v>
                </c:pt>
                <c:pt idx="6">
                  <c:v>Chhattisgarh</c:v>
                </c:pt>
                <c:pt idx="7">
                  <c:v>Dadra and Nagar Haveli and Daman and Diu</c:v>
                </c:pt>
                <c:pt idx="8">
                  <c:v>Delhi</c:v>
                </c:pt>
                <c:pt idx="9">
                  <c:v>Goa</c:v>
                </c:pt>
                <c:pt idx="10">
                  <c:v>Gujarat</c:v>
                </c:pt>
                <c:pt idx="11">
                  <c:v>Haryana</c:v>
                </c:pt>
                <c:pt idx="12">
                  <c:v>Himachal Pradesh</c:v>
                </c:pt>
                <c:pt idx="13">
                  <c:v>India</c:v>
                </c:pt>
                <c:pt idx="14">
                  <c:v>Jammu and Kashmir</c:v>
                </c:pt>
                <c:pt idx="15">
                  <c:v>Jharkhand</c:v>
                </c:pt>
                <c:pt idx="16">
                  <c:v>Karnataka</c:v>
                </c:pt>
                <c:pt idx="17">
                  <c:v>Kerala</c:v>
                </c:pt>
                <c:pt idx="18">
                  <c:v>Ladakh</c:v>
                </c:pt>
                <c:pt idx="19">
                  <c:v>Lakshadweep</c:v>
                </c:pt>
                <c:pt idx="20">
                  <c:v>Madhya Pradesh</c:v>
                </c:pt>
                <c:pt idx="21">
                  <c:v>Maharashtra</c:v>
                </c:pt>
                <c:pt idx="22">
                  <c:v>Manipur</c:v>
                </c:pt>
                <c:pt idx="23">
                  <c:v>Meghalaya</c:v>
                </c:pt>
                <c:pt idx="24">
                  <c:v>Mizoram</c:v>
                </c:pt>
                <c:pt idx="25">
                  <c:v>Nagaland</c:v>
                </c:pt>
                <c:pt idx="26">
                  <c:v>Odisha</c:v>
                </c:pt>
                <c:pt idx="27">
                  <c:v>Puducherry</c:v>
                </c:pt>
                <c:pt idx="28">
                  <c:v>Punjab</c:v>
                </c:pt>
                <c:pt idx="29">
                  <c:v>Rajasthan</c:v>
                </c:pt>
                <c:pt idx="30">
                  <c:v>Sikkim</c:v>
                </c:pt>
                <c:pt idx="31">
                  <c:v>Tamil Nadu</c:v>
                </c:pt>
                <c:pt idx="32">
                  <c:v>Telangana</c:v>
                </c:pt>
                <c:pt idx="33">
                  <c:v>Tripura</c:v>
                </c:pt>
                <c:pt idx="34">
                  <c:v>Uttar Pradesh</c:v>
                </c:pt>
                <c:pt idx="35">
                  <c:v>Uttarakhand</c:v>
                </c:pt>
                <c:pt idx="36">
                  <c:v>West Bengal</c:v>
                </c:pt>
              </c:strCache>
            </c:strRef>
          </c:cat>
          <c:val>
            <c:numRef>
              <c:f>Overall_Girls_Population_Pivot!$B$4:$B$41</c:f>
              <c:numCache>
                <c:formatCode>General</c:formatCode>
                <c:ptCount val="37"/>
                <c:pt idx="0">
                  <c:v>89501</c:v>
                </c:pt>
                <c:pt idx="1">
                  <c:v>11591800</c:v>
                </c:pt>
                <c:pt idx="2">
                  <c:v>433688</c:v>
                </c:pt>
                <c:pt idx="3">
                  <c:v>9978200</c:v>
                </c:pt>
                <c:pt idx="4">
                  <c:v>43355477</c:v>
                </c:pt>
                <c:pt idx="5">
                  <c:v>271791</c:v>
                </c:pt>
                <c:pt idx="6">
                  <c:v>8543467</c:v>
                </c:pt>
                <c:pt idx="7">
                  <c:v>172964</c:v>
                </c:pt>
                <c:pt idx="8">
                  <c:v>5306108</c:v>
                </c:pt>
                <c:pt idx="9">
                  <c:v>320012</c:v>
                </c:pt>
                <c:pt idx="10">
                  <c:v>17905919</c:v>
                </c:pt>
                <c:pt idx="11">
                  <c:v>7866200</c:v>
                </c:pt>
                <c:pt idx="12">
                  <c:v>1627867</c:v>
                </c:pt>
                <c:pt idx="13">
                  <c:v>369860391</c:v>
                </c:pt>
                <c:pt idx="14">
                  <c:v>3488533</c:v>
                </c:pt>
                <c:pt idx="15">
                  <c:v>11976400</c:v>
                </c:pt>
                <c:pt idx="16">
                  <c:v>15763400</c:v>
                </c:pt>
                <c:pt idx="17">
                  <c:v>7744000</c:v>
                </c:pt>
                <c:pt idx="18">
                  <c:v>69316</c:v>
                </c:pt>
                <c:pt idx="19">
                  <c:v>16847</c:v>
                </c:pt>
                <c:pt idx="20">
                  <c:v>25718701</c:v>
                </c:pt>
                <c:pt idx="21">
                  <c:v>28739800</c:v>
                </c:pt>
                <c:pt idx="22">
                  <c:v>756227</c:v>
                </c:pt>
                <c:pt idx="23">
                  <c:v>970841</c:v>
                </c:pt>
                <c:pt idx="24">
                  <c:v>297936</c:v>
                </c:pt>
                <c:pt idx="25">
                  <c:v>606564</c:v>
                </c:pt>
                <c:pt idx="26">
                  <c:v>11416133</c:v>
                </c:pt>
                <c:pt idx="27">
                  <c:v>290092</c:v>
                </c:pt>
                <c:pt idx="28">
                  <c:v>6612933</c:v>
                </c:pt>
                <c:pt idx="29">
                  <c:v>24532800</c:v>
                </c:pt>
                <c:pt idx="30">
                  <c:v>157033</c:v>
                </c:pt>
                <c:pt idx="31">
                  <c:v>16237200</c:v>
                </c:pt>
                <c:pt idx="32">
                  <c:v>8694400</c:v>
                </c:pt>
                <c:pt idx="33">
                  <c:v>899784</c:v>
                </c:pt>
                <c:pt idx="34">
                  <c:v>72355460</c:v>
                </c:pt>
                <c:pt idx="35">
                  <c:v>2917200</c:v>
                </c:pt>
                <c:pt idx="36">
                  <c:v>22135800</c:v>
                </c:pt>
              </c:numCache>
            </c:numRef>
          </c:val>
          <c:extLst>
            <c:ext xmlns:c16="http://schemas.microsoft.com/office/drawing/2014/chart" uri="{C3380CC4-5D6E-409C-BE32-E72D297353CC}">
              <c16:uniqueId val="{0000004A-A442-41EA-8EF9-F0098507E6A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[Population by region and by age.xlsm]Top_5_Populated_States_Pivot!PivotTable1</c:name>
    <c:fmtId val="1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Top_5_Populated_States_Pivot!$C$6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731-419B-941D-3471E95AC21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731-419B-941D-3471E95AC21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731-419B-941D-3471E95AC21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731-419B-941D-3471E95AC21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731-419B-941D-3471E95AC211}"/>
              </c:ext>
            </c:extLst>
          </c:dPt>
          <c:cat>
            <c:strRef>
              <c:f>Top_5_Populated_States_Pivot!$B$7:$B$12</c:f>
              <c:strCache>
                <c:ptCount val="5"/>
                <c:pt idx="0">
                  <c:v>Bihar</c:v>
                </c:pt>
                <c:pt idx="1">
                  <c:v>Madhya Pradesh</c:v>
                </c:pt>
                <c:pt idx="2">
                  <c:v>Maharashtra</c:v>
                </c:pt>
                <c:pt idx="3">
                  <c:v>Rajasthan</c:v>
                </c:pt>
                <c:pt idx="4">
                  <c:v>Uttar Pradesh</c:v>
                </c:pt>
              </c:strCache>
            </c:strRef>
          </c:cat>
          <c:val>
            <c:numRef>
              <c:f>Top_5_Populated_States_Pivot!$C$7:$C$12</c:f>
              <c:numCache>
                <c:formatCode>#,##0</c:formatCode>
                <c:ptCount val="5"/>
                <c:pt idx="0">
                  <c:v>29981728</c:v>
                </c:pt>
                <c:pt idx="1">
                  <c:v>31730111</c:v>
                </c:pt>
                <c:pt idx="2">
                  <c:v>33640800</c:v>
                </c:pt>
                <c:pt idx="3">
                  <c:v>28028000</c:v>
                </c:pt>
                <c:pt idx="4">
                  <c:v>76063663</c:v>
                </c:pt>
              </c:numCache>
            </c:numRef>
          </c:val>
          <c:extLst>
            <c:ext xmlns:c16="http://schemas.microsoft.com/office/drawing/2014/chart" uri="{C3380CC4-5D6E-409C-BE32-E72D297353CC}">
              <c16:uniqueId val="{0000000A-E731-419B-941D-3471E95AC21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[Population by region and by age.xlsm]Top_5_Populated_States_Pivot!PivotTable1</c:name>
    <c:fmtId val="18"/>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Top_5_Populated_States_Pivot!$C$6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Top_5_Populated_States_Pivot!$B$7:$B$12</c:f>
              <c:strCache>
                <c:ptCount val="5"/>
                <c:pt idx="0">
                  <c:v>Bihar</c:v>
                </c:pt>
                <c:pt idx="1">
                  <c:v>Madhya Pradesh</c:v>
                </c:pt>
                <c:pt idx="2">
                  <c:v>Maharashtra</c:v>
                </c:pt>
                <c:pt idx="3">
                  <c:v>Rajasthan</c:v>
                </c:pt>
                <c:pt idx="4">
                  <c:v>Uttar Pradesh</c:v>
                </c:pt>
              </c:strCache>
            </c:strRef>
          </c:cat>
          <c:val>
            <c:numRef>
              <c:f>Top_5_Populated_States_Pivot!$C$7:$C$12</c:f>
              <c:numCache>
                <c:formatCode>#,##0</c:formatCode>
                <c:ptCount val="5"/>
                <c:pt idx="0">
                  <c:v>29981728</c:v>
                </c:pt>
                <c:pt idx="1">
                  <c:v>31730111</c:v>
                </c:pt>
                <c:pt idx="2">
                  <c:v>33640800</c:v>
                </c:pt>
                <c:pt idx="3">
                  <c:v>28028000</c:v>
                </c:pt>
                <c:pt idx="4">
                  <c:v>76063663</c:v>
                </c:pt>
              </c:numCache>
            </c:numRef>
          </c:val>
          <c:smooth val="0"/>
          <c:extLst>
            <c:ext xmlns:c16="http://schemas.microsoft.com/office/drawing/2014/chart" uri="{C3380CC4-5D6E-409C-BE32-E72D297353CC}">
              <c16:uniqueId val="{00000000-762E-4892-8483-8AC317E38E0C}"/>
            </c:ext>
          </c:extLst>
        </c:ser>
        <c:dLbls>
          <c:showLegendKey val="0"/>
          <c:showVal val="0"/>
          <c:showCatName val="0"/>
          <c:showSerName val="0"/>
          <c:showPercent val="0"/>
          <c:showBubbleSize val="0"/>
        </c:dLbls>
        <c:marker val="1"/>
        <c:smooth val="0"/>
        <c:axId val="58732848"/>
        <c:axId val="58733328"/>
      </c:lineChart>
      <c:catAx>
        <c:axId val="58732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733328"/>
        <c:crosses val="autoZero"/>
        <c:auto val="1"/>
        <c:lblAlgn val="ctr"/>
        <c:lblOffset val="100"/>
        <c:noMultiLvlLbl val="0"/>
      </c:catAx>
      <c:valAx>
        <c:axId val="587333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732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[Population by region and by age.xlsm]Top_5_Populated_States_Pivot!PivotTable1</c:name>
    <c:fmtId val="2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Top_5_Populated_States_Pivot!$C$6</c:f>
              <c:strCache>
                <c:ptCount val="1"/>
                <c:pt idx="0">
                  <c:v>Total</c:v>
                </c:pt>
              </c:strCache>
            </c:strRef>
          </c:tx>
          <c:spPr>
            <a:solidFill>
              <a:schemeClr val="accent1"/>
            </a:solidFill>
            <a:ln>
              <a:noFill/>
            </a:ln>
            <a:effectLst/>
          </c:spPr>
          <c:invertIfNegative val="0"/>
          <c:cat>
            <c:strRef>
              <c:f>Top_5_Populated_States_Pivot!$B$7:$B$12</c:f>
              <c:strCache>
                <c:ptCount val="5"/>
                <c:pt idx="0">
                  <c:v>Bihar</c:v>
                </c:pt>
                <c:pt idx="1">
                  <c:v>Madhya Pradesh</c:v>
                </c:pt>
                <c:pt idx="2">
                  <c:v>Maharashtra</c:v>
                </c:pt>
                <c:pt idx="3">
                  <c:v>Rajasthan</c:v>
                </c:pt>
                <c:pt idx="4">
                  <c:v>Uttar Pradesh</c:v>
                </c:pt>
              </c:strCache>
            </c:strRef>
          </c:cat>
          <c:val>
            <c:numRef>
              <c:f>Top_5_Populated_States_Pivot!$C$7:$C$12</c:f>
              <c:numCache>
                <c:formatCode>#,##0</c:formatCode>
                <c:ptCount val="5"/>
                <c:pt idx="0">
                  <c:v>29981728</c:v>
                </c:pt>
                <c:pt idx="1">
                  <c:v>31730111</c:v>
                </c:pt>
                <c:pt idx="2">
                  <c:v>33640800</c:v>
                </c:pt>
                <c:pt idx="3">
                  <c:v>28028000</c:v>
                </c:pt>
                <c:pt idx="4">
                  <c:v>76063663</c:v>
                </c:pt>
              </c:numCache>
            </c:numRef>
          </c:val>
          <c:extLst>
            <c:ext xmlns:c16="http://schemas.microsoft.com/office/drawing/2014/chart" uri="{C3380CC4-5D6E-409C-BE32-E72D297353CC}">
              <c16:uniqueId val="{00000000-E996-4ABD-BFA1-8198CAF50928}"/>
            </c:ext>
          </c:extLst>
        </c:ser>
        <c:dLbls>
          <c:showLegendKey val="0"/>
          <c:showVal val="0"/>
          <c:showCatName val="0"/>
          <c:showSerName val="0"/>
          <c:showPercent val="0"/>
          <c:showBubbleSize val="0"/>
        </c:dLbls>
        <c:gapWidth val="219"/>
        <c:overlap val="-27"/>
        <c:axId val="58708848"/>
        <c:axId val="58708368"/>
      </c:barChart>
      <c:catAx>
        <c:axId val="5870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708368"/>
        <c:crosses val="autoZero"/>
        <c:auto val="1"/>
        <c:lblAlgn val="ctr"/>
        <c:lblOffset val="100"/>
        <c:noMultiLvlLbl val="0"/>
      </c:catAx>
      <c:valAx>
        <c:axId val="587083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708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[Population by region and by age.xlsm]Overall_Population_Pivot!PivotTable1</c:name>
    <c:fmtId val="31"/>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w="9525">
              <a:solidFill>
                <a:schemeClr val="accent1">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w="9525">
              <a:solidFill>
                <a:schemeClr val="accent2">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w="9525">
              <a:solidFill>
                <a:schemeClr val="accent3">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w="9525">
              <a:solidFill>
                <a:schemeClr val="accent4">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w="9525">
              <a:solidFill>
                <a:schemeClr val="accent5">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w="9525">
              <a:solidFill>
                <a:schemeClr val="accent1">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w="9525">
              <a:solidFill>
                <a:schemeClr val="accent2">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w="9525">
              <a:solidFill>
                <a:schemeClr val="accent3">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w="9525">
              <a:solidFill>
                <a:schemeClr val="accent4">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w="9525">
              <a:solidFill>
                <a:schemeClr val="accent5">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w="9525">
              <a:solidFill>
                <a:schemeClr val="accent6">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w="9525">
              <a:solidFill>
                <a:schemeClr val="accent1">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w="9525">
              <a:solidFill>
                <a:schemeClr val="accent2">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w="9525">
              <a:solidFill>
                <a:schemeClr val="accent3">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w="9525">
              <a:solidFill>
                <a:schemeClr val="accent4">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w="9525">
              <a:solidFill>
                <a:schemeClr val="accent5">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w="9525">
              <a:solidFill>
                <a:schemeClr val="accent6">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w="9525">
              <a:solidFill>
                <a:schemeClr val="accent1">
                  <a:lumMod val="70000"/>
                  <a:lumOff val="3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763985780668016"/>
          <c:y val="5.6206088992974239E-2"/>
          <c:w val="0.79387015760164037"/>
          <c:h val="0.50881299673606373"/>
        </c:manualLayout>
      </c:layout>
      <c:areaChart>
        <c:grouping val="stacked"/>
        <c:varyColors val="0"/>
        <c:ser>
          <c:idx val="0"/>
          <c:order val="0"/>
          <c:tx>
            <c:strRef>
              <c:f>Overall_Population_Pivot!$B$3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Overall_Population_Pivot!$A$4:$A$41</c:f>
              <c:strCache>
                <c:ptCount val="37"/>
                <c:pt idx="0">
                  <c:v>Andaman and Nicobar Islands</c:v>
                </c:pt>
                <c:pt idx="1">
                  <c:v>Andhra Pradesh</c:v>
                </c:pt>
                <c:pt idx="2">
                  <c:v>Arunachal Pradesh</c:v>
                </c:pt>
                <c:pt idx="3">
                  <c:v>Assam</c:v>
                </c:pt>
                <c:pt idx="4">
                  <c:v>Bihar</c:v>
                </c:pt>
                <c:pt idx="5">
                  <c:v>Chandigarh</c:v>
                </c:pt>
                <c:pt idx="6">
                  <c:v>Chhattisgarh</c:v>
                </c:pt>
                <c:pt idx="7">
                  <c:v>Dadra and Nagar Haveli and Daman and Diu</c:v>
                </c:pt>
                <c:pt idx="8">
                  <c:v>Delhi</c:v>
                </c:pt>
                <c:pt idx="9">
                  <c:v>Goa</c:v>
                </c:pt>
                <c:pt idx="10">
                  <c:v>Gujarat</c:v>
                </c:pt>
                <c:pt idx="11">
                  <c:v>Haryana</c:v>
                </c:pt>
                <c:pt idx="12">
                  <c:v>Himachal Pradesh</c:v>
                </c:pt>
                <c:pt idx="13">
                  <c:v>India</c:v>
                </c:pt>
                <c:pt idx="14">
                  <c:v>Jammu and Kashmir</c:v>
                </c:pt>
                <c:pt idx="15">
                  <c:v>Jharkhand</c:v>
                </c:pt>
                <c:pt idx="16">
                  <c:v>Karnataka</c:v>
                </c:pt>
                <c:pt idx="17">
                  <c:v>Kerala</c:v>
                </c:pt>
                <c:pt idx="18">
                  <c:v>Ladakh</c:v>
                </c:pt>
                <c:pt idx="19">
                  <c:v>Lakshadweep</c:v>
                </c:pt>
                <c:pt idx="20">
                  <c:v>Madhya Pradesh</c:v>
                </c:pt>
                <c:pt idx="21">
                  <c:v>Maharashtra</c:v>
                </c:pt>
                <c:pt idx="22">
                  <c:v>Manipur</c:v>
                </c:pt>
                <c:pt idx="23">
                  <c:v>Meghalaya</c:v>
                </c:pt>
                <c:pt idx="24">
                  <c:v>Mizoram</c:v>
                </c:pt>
                <c:pt idx="25">
                  <c:v>Nagaland</c:v>
                </c:pt>
                <c:pt idx="26">
                  <c:v>Odisha</c:v>
                </c:pt>
                <c:pt idx="27">
                  <c:v>Puducherry</c:v>
                </c:pt>
                <c:pt idx="28">
                  <c:v>Punjab</c:v>
                </c:pt>
                <c:pt idx="29">
                  <c:v>Rajasthan</c:v>
                </c:pt>
                <c:pt idx="30">
                  <c:v>Sikkim</c:v>
                </c:pt>
                <c:pt idx="31">
                  <c:v>Tamil Nadu</c:v>
                </c:pt>
                <c:pt idx="32">
                  <c:v>Telangana</c:v>
                </c:pt>
                <c:pt idx="33">
                  <c:v>Tripura</c:v>
                </c:pt>
                <c:pt idx="34">
                  <c:v>Uttar Pradesh</c:v>
                </c:pt>
                <c:pt idx="35">
                  <c:v>Uttarakhand</c:v>
                </c:pt>
                <c:pt idx="36">
                  <c:v>West Bengal</c:v>
                </c:pt>
              </c:strCache>
            </c:strRef>
          </c:cat>
          <c:val>
            <c:numRef>
              <c:f>Overall_Population_Pivot!$B$4:$B$41</c:f>
              <c:numCache>
                <c:formatCode>General</c:formatCode>
                <c:ptCount val="37"/>
                <c:pt idx="0">
                  <c:v>89501</c:v>
                </c:pt>
                <c:pt idx="1">
                  <c:v>11591800</c:v>
                </c:pt>
                <c:pt idx="2">
                  <c:v>433688</c:v>
                </c:pt>
                <c:pt idx="3">
                  <c:v>9978200</c:v>
                </c:pt>
                <c:pt idx="4">
                  <c:v>43355477</c:v>
                </c:pt>
                <c:pt idx="5">
                  <c:v>271791</c:v>
                </c:pt>
                <c:pt idx="6">
                  <c:v>8543467</c:v>
                </c:pt>
                <c:pt idx="7">
                  <c:v>172964</c:v>
                </c:pt>
                <c:pt idx="8">
                  <c:v>5306108</c:v>
                </c:pt>
                <c:pt idx="9">
                  <c:v>320012</c:v>
                </c:pt>
                <c:pt idx="10">
                  <c:v>17905919</c:v>
                </c:pt>
                <c:pt idx="11">
                  <c:v>7866200</c:v>
                </c:pt>
                <c:pt idx="12">
                  <c:v>1627867</c:v>
                </c:pt>
                <c:pt idx="13">
                  <c:v>369860391</c:v>
                </c:pt>
                <c:pt idx="14">
                  <c:v>3488533</c:v>
                </c:pt>
                <c:pt idx="15">
                  <c:v>11976400</c:v>
                </c:pt>
                <c:pt idx="16">
                  <c:v>15763400</c:v>
                </c:pt>
                <c:pt idx="17">
                  <c:v>7744000</c:v>
                </c:pt>
                <c:pt idx="18">
                  <c:v>69316</c:v>
                </c:pt>
                <c:pt idx="19">
                  <c:v>16847</c:v>
                </c:pt>
                <c:pt idx="20">
                  <c:v>25718701</c:v>
                </c:pt>
                <c:pt idx="21">
                  <c:v>28739800</c:v>
                </c:pt>
                <c:pt idx="22">
                  <c:v>756227</c:v>
                </c:pt>
                <c:pt idx="23">
                  <c:v>970841</c:v>
                </c:pt>
                <c:pt idx="24">
                  <c:v>297936</c:v>
                </c:pt>
                <c:pt idx="25">
                  <c:v>606564</c:v>
                </c:pt>
                <c:pt idx="26">
                  <c:v>11416133</c:v>
                </c:pt>
                <c:pt idx="27">
                  <c:v>290092</c:v>
                </c:pt>
                <c:pt idx="28">
                  <c:v>6612933</c:v>
                </c:pt>
                <c:pt idx="29">
                  <c:v>24532800</c:v>
                </c:pt>
                <c:pt idx="30">
                  <c:v>157033</c:v>
                </c:pt>
                <c:pt idx="31">
                  <c:v>16237200</c:v>
                </c:pt>
                <c:pt idx="32">
                  <c:v>8694400</c:v>
                </c:pt>
                <c:pt idx="33">
                  <c:v>899784</c:v>
                </c:pt>
                <c:pt idx="34">
                  <c:v>72355460</c:v>
                </c:pt>
                <c:pt idx="35">
                  <c:v>2917200</c:v>
                </c:pt>
                <c:pt idx="36">
                  <c:v>22135800</c:v>
                </c:pt>
              </c:numCache>
            </c:numRef>
          </c:val>
          <c:extLst>
            <c:ext xmlns:c16="http://schemas.microsoft.com/office/drawing/2014/chart" uri="{C3380CC4-5D6E-409C-BE32-E72D297353CC}">
              <c16:uniqueId val="{00000000-7BBE-4E6C-ABA4-C9806D355A95}"/>
            </c:ext>
          </c:extLst>
        </c:ser>
        <c:dLbls>
          <c:showLegendKey val="0"/>
          <c:showVal val="0"/>
          <c:showCatName val="0"/>
          <c:showSerName val="0"/>
          <c:showPercent val="0"/>
          <c:showBubbleSize val="0"/>
        </c:dLbls>
        <c:axId val="659027535"/>
        <c:axId val="659030895"/>
      </c:areaChart>
      <c:catAx>
        <c:axId val="659027535"/>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59030895"/>
        <c:crosses val="autoZero"/>
        <c:auto val="1"/>
        <c:lblAlgn val="ctr"/>
        <c:lblOffset val="100"/>
        <c:noMultiLvlLbl val="0"/>
      </c:catAx>
      <c:valAx>
        <c:axId val="65903089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5902753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[Population by region and by age.xlsm]Overall_Population_Pivot!PivotTable1</c:name>
    <c:fmtId val="33"/>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Overall_Population_Pivot!$B$3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8CF-4014-B3C2-ECD2595030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8CF-4014-B3C2-ECD2595030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58CF-4014-B3C2-ECD2595030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58CF-4014-B3C2-ECD25950300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58CF-4014-B3C2-ECD25950300C}"/>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58CF-4014-B3C2-ECD25950300C}"/>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58CF-4014-B3C2-ECD25950300C}"/>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58CF-4014-B3C2-ECD25950300C}"/>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58CF-4014-B3C2-ECD25950300C}"/>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58CF-4014-B3C2-ECD25950300C}"/>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58CF-4014-B3C2-ECD25950300C}"/>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58CF-4014-B3C2-ECD25950300C}"/>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58CF-4014-B3C2-ECD25950300C}"/>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58CF-4014-B3C2-ECD25950300C}"/>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58CF-4014-B3C2-ECD25950300C}"/>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58CF-4014-B3C2-ECD25950300C}"/>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58CF-4014-B3C2-ECD25950300C}"/>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58CF-4014-B3C2-ECD25950300C}"/>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58CF-4014-B3C2-ECD25950300C}"/>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58CF-4014-B3C2-ECD25950300C}"/>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58CF-4014-B3C2-ECD25950300C}"/>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58CF-4014-B3C2-ECD25950300C}"/>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58CF-4014-B3C2-ECD25950300C}"/>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58CF-4014-B3C2-ECD25950300C}"/>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58CF-4014-B3C2-ECD25950300C}"/>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58CF-4014-B3C2-ECD25950300C}"/>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58CF-4014-B3C2-ECD25950300C}"/>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58CF-4014-B3C2-ECD25950300C}"/>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58CF-4014-B3C2-ECD25950300C}"/>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58CF-4014-B3C2-ECD25950300C}"/>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58CF-4014-B3C2-ECD25950300C}"/>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58CF-4014-B3C2-ECD25950300C}"/>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58CF-4014-B3C2-ECD25950300C}"/>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58CF-4014-B3C2-ECD25950300C}"/>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58CF-4014-B3C2-ECD25950300C}"/>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58CF-4014-B3C2-ECD25950300C}"/>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58CF-4014-B3C2-ECD25950300C}"/>
              </c:ext>
            </c:extLst>
          </c:dPt>
          <c:cat>
            <c:strRef>
              <c:f>Overall_Population_Pivot!$A$4:$A$41</c:f>
              <c:strCache>
                <c:ptCount val="37"/>
                <c:pt idx="0">
                  <c:v>Andaman and Nicobar Islands</c:v>
                </c:pt>
                <c:pt idx="1">
                  <c:v>Andhra Pradesh</c:v>
                </c:pt>
                <c:pt idx="2">
                  <c:v>Arunachal Pradesh</c:v>
                </c:pt>
                <c:pt idx="3">
                  <c:v>Assam</c:v>
                </c:pt>
                <c:pt idx="4">
                  <c:v>Bihar</c:v>
                </c:pt>
                <c:pt idx="5">
                  <c:v>Chandigarh</c:v>
                </c:pt>
                <c:pt idx="6">
                  <c:v>Chhattisgarh</c:v>
                </c:pt>
                <c:pt idx="7">
                  <c:v>Dadra and Nagar Haveli and Daman and Diu</c:v>
                </c:pt>
                <c:pt idx="8">
                  <c:v>Delhi</c:v>
                </c:pt>
                <c:pt idx="9">
                  <c:v>Goa</c:v>
                </c:pt>
                <c:pt idx="10">
                  <c:v>Gujarat</c:v>
                </c:pt>
                <c:pt idx="11">
                  <c:v>Haryana</c:v>
                </c:pt>
                <c:pt idx="12">
                  <c:v>Himachal Pradesh</c:v>
                </c:pt>
                <c:pt idx="13">
                  <c:v>India</c:v>
                </c:pt>
                <c:pt idx="14">
                  <c:v>Jammu and Kashmir</c:v>
                </c:pt>
                <c:pt idx="15">
                  <c:v>Jharkhand</c:v>
                </c:pt>
                <c:pt idx="16">
                  <c:v>Karnataka</c:v>
                </c:pt>
                <c:pt idx="17">
                  <c:v>Kerala</c:v>
                </c:pt>
                <c:pt idx="18">
                  <c:v>Ladakh</c:v>
                </c:pt>
                <c:pt idx="19">
                  <c:v>Lakshadweep</c:v>
                </c:pt>
                <c:pt idx="20">
                  <c:v>Madhya Pradesh</c:v>
                </c:pt>
                <c:pt idx="21">
                  <c:v>Maharashtra</c:v>
                </c:pt>
                <c:pt idx="22">
                  <c:v>Manipur</c:v>
                </c:pt>
                <c:pt idx="23">
                  <c:v>Meghalaya</c:v>
                </c:pt>
                <c:pt idx="24">
                  <c:v>Mizoram</c:v>
                </c:pt>
                <c:pt idx="25">
                  <c:v>Nagaland</c:v>
                </c:pt>
                <c:pt idx="26">
                  <c:v>Odisha</c:v>
                </c:pt>
                <c:pt idx="27">
                  <c:v>Puducherry</c:v>
                </c:pt>
                <c:pt idx="28">
                  <c:v>Punjab</c:v>
                </c:pt>
                <c:pt idx="29">
                  <c:v>Rajasthan</c:v>
                </c:pt>
                <c:pt idx="30">
                  <c:v>Sikkim</c:v>
                </c:pt>
                <c:pt idx="31">
                  <c:v>Tamil Nadu</c:v>
                </c:pt>
                <c:pt idx="32">
                  <c:v>Telangana</c:v>
                </c:pt>
                <c:pt idx="33">
                  <c:v>Tripura</c:v>
                </c:pt>
                <c:pt idx="34">
                  <c:v>Uttar Pradesh</c:v>
                </c:pt>
                <c:pt idx="35">
                  <c:v>Uttarakhand</c:v>
                </c:pt>
                <c:pt idx="36">
                  <c:v>West Bengal</c:v>
                </c:pt>
              </c:strCache>
            </c:strRef>
          </c:cat>
          <c:val>
            <c:numRef>
              <c:f>Overall_Population_Pivot!$B$4:$B$41</c:f>
              <c:numCache>
                <c:formatCode>General</c:formatCode>
                <c:ptCount val="37"/>
                <c:pt idx="0">
                  <c:v>89501</c:v>
                </c:pt>
                <c:pt idx="1">
                  <c:v>11591800</c:v>
                </c:pt>
                <c:pt idx="2">
                  <c:v>433688</c:v>
                </c:pt>
                <c:pt idx="3">
                  <c:v>9978200</c:v>
                </c:pt>
                <c:pt idx="4">
                  <c:v>43355477</c:v>
                </c:pt>
                <c:pt idx="5">
                  <c:v>271791</c:v>
                </c:pt>
                <c:pt idx="6">
                  <c:v>8543467</c:v>
                </c:pt>
                <c:pt idx="7">
                  <c:v>172964</c:v>
                </c:pt>
                <c:pt idx="8">
                  <c:v>5306108</c:v>
                </c:pt>
                <c:pt idx="9">
                  <c:v>320012</c:v>
                </c:pt>
                <c:pt idx="10">
                  <c:v>17905919</c:v>
                </c:pt>
                <c:pt idx="11">
                  <c:v>7866200</c:v>
                </c:pt>
                <c:pt idx="12">
                  <c:v>1627867</c:v>
                </c:pt>
                <c:pt idx="13">
                  <c:v>369860391</c:v>
                </c:pt>
                <c:pt idx="14">
                  <c:v>3488533</c:v>
                </c:pt>
                <c:pt idx="15">
                  <c:v>11976400</c:v>
                </c:pt>
                <c:pt idx="16">
                  <c:v>15763400</c:v>
                </c:pt>
                <c:pt idx="17">
                  <c:v>7744000</c:v>
                </c:pt>
                <c:pt idx="18">
                  <c:v>69316</c:v>
                </c:pt>
                <c:pt idx="19">
                  <c:v>16847</c:v>
                </c:pt>
                <c:pt idx="20">
                  <c:v>25718701</c:v>
                </c:pt>
                <c:pt idx="21">
                  <c:v>28739800</c:v>
                </c:pt>
                <c:pt idx="22">
                  <c:v>756227</c:v>
                </c:pt>
                <c:pt idx="23">
                  <c:v>970841</c:v>
                </c:pt>
                <c:pt idx="24">
                  <c:v>297936</c:v>
                </c:pt>
                <c:pt idx="25">
                  <c:v>606564</c:v>
                </c:pt>
                <c:pt idx="26">
                  <c:v>11416133</c:v>
                </c:pt>
                <c:pt idx="27">
                  <c:v>290092</c:v>
                </c:pt>
                <c:pt idx="28">
                  <c:v>6612933</c:v>
                </c:pt>
                <c:pt idx="29">
                  <c:v>24532800</c:v>
                </c:pt>
                <c:pt idx="30">
                  <c:v>157033</c:v>
                </c:pt>
                <c:pt idx="31">
                  <c:v>16237200</c:v>
                </c:pt>
                <c:pt idx="32">
                  <c:v>8694400</c:v>
                </c:pt>
                <c:pt idx="33">
                  <c:v>899784</c:v>
                </c:pt>
                <c:pt idx="34">
                  <c:v>72355460</c:v>
                </c:pt>
                <c:pt idx="35">
                  <c:v>2917200</c:v>
                </c:pt>
                <c:pt idx="36">
                  <c:v>22135800</c:v>
                </c:pt>
              </c:numCache>
            </c:numRef>
          </c:val>
          <c:extLst>
            <c:ext xmlns:c16="http://schemas.microsoft.com/office/drawing/2014/chart" uri="{C3380CC4-5D6E-409C-BE32-E72D297353CC}">
              <c16:uniqueId val="{0000004A-58CF-4014-B3C2-ECD25950300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[Population by region and by age.xlsm]Overall_Boys_Population_Pivot!PivotTable2</c:name>
    <c:fmtId val="1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Overall_Boys_Population_Pivot!$B$3</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Overall_Boys_Population_Pivot!$A$4:$A$41</c:f>
              <c:strCache>
                <c:ptCount val="37"/>
                <c:pt idx="0">
                  <c:v>Andaman and Nicobar Islands</c:v>
                </c:pt>
                <c:pt idx="1">
                  <c:v>Andhra Pradesh</c:v>
                </c:pt>
                <c:pt idx="2">
                  <c:v>Arunachal Pradesh</c:v>
                </c:pt>
                <c:pt idx="3">
                  <c:v>Assam</c:v>
                </c:pt>
                <c:pt idx="4">
                  <c:v>Bihar</c:v>
                </c:pt>
                <c:pt idx="5">
                  <c:v>Chandigarh</c:v>
                </c:pt>
                <c:pt idx="6">
                  <c:v>Chhattisgarh</c:v>
                </c:pt>
                <c:pt idx="7">
                  <c:v>Dadra and Nagar Haveli and Daman and Diu</c:v>
                </c:pt>
                <c:pt idx="8">
                  <c:v>Delhi</c:v>
                </c:pt>
                <c:pt idx="9">
                  <c:v>Goa</c:v>
                </c:pt>
                <c:pt idx="10">
                  <c:v>Gujarat</c:v>
                </c:pt>
                <c:pt idx="11">
                  <c:v>Haryana</c:v>
                </c:pt>
                <c:pt idx="12">
                  <c:v>Himachal Pradesh</c:v>
                </c:pt>
                <c:pt idx="13">
                  <c:v>India</c:v>
                </c:pt>
                <c:pt idx="14">
                  <c:v>Jammu and Kashmir</c:v>
                </c:pt>
                <c:pt idx="15">
                  <c:v>Jharkhand</c:v>
                </c:pt>
                <c:pt idx="16">
                  <c:v>Karnataka</c:v>
                </c:pt>
                <c:pt idx="17">
                  <c:v>Kerala</c:v>
                </c:pt>
                <c:pt idx="18">
                  <c:v>Ladakh</c:v>
                </c:pt>
                <c:pt idx="19">
                  <c:v>Lakshadweep</c:v>
                </c:pt>
                <c:pt idx="20">
                  <c:v>Madhya Pradesh</c:v>
                </c:pt>
                <c:pt idx="21">
                  <c:v>Maharashtra</c:v>
                </c:pt>
                <c:pt idx="22">
                  <c:v>Manipur</c:v>
                </c:pt>
                <c:pt idx="23">
                  <c:v>Meghalaya</c:v>
                </c:pt>
                <c:pt idx="24">
                  <c:v>Mizoram</c:v>
                </c:pt>
                <c:pt idx="25">
                  <c:v>Nagaland</c:v>
                </c:pt>
                <c:pt idx="26">
                  <c:v>Odisha</c:v>
                </c:pt>
                <c:pt idx="27">
                  <c:v>Puducherry</c:v>
                </c:pt>
                <c:pt idx="28">
                  <c:v>Punjab</c:v>
                </c:pt>
                <c:pt idx="29">
                  <c:v>Rajasthan</c:v>
                </c:pt>
                <c:pt idx="30">
                  <c:v>Sikkim</c:v>
                </c:pt>
                <c:pt idx="31">
                  <c:v>Tamil Nadu</c:v>
                </c:pt>
                <c:pt idx="32">
                  <c:v>Telangana</c:v>
                </c:pt>
                <c:pt idx="33">
                  <c:v>Tripura</c:v>
                </c:pt>
                <c:pt idx="34">
                  <c:v>Uttar Pradesh</c:v>
                </c:pt>
                <c:pt idx="35">
                  <c:v>Uttarakhand</c:v>
                </c:pt>
                <c:pt idx="36">
                  <c:v>West Bengal</c:v>
                </c:pt>
              </c:strCache>
            </c:strRef>
          </c:cat>
          <c:val>
            <c:numRef>
              <c:f>Overall_Boys_Population_Pivot!$B$4:$B$41</c:f>
              <c:numCache>
                <c:formatCode>General</c:formatCode>
                <c:ptCount val="37"/>
                <c:pt idx="0">
                  <c:v>89501</c:v>
                </c:pt>
                <c:pt idx="1">
                  <c:v>11591800</c:v>
                </c:pt>
                <c:pt idx="2">
                  <c:v>433688</c:v>
                </c:pt>
                <c:pt idx="3">
                  <c:v>9978200</c:v>
                </c:pt>
                <c:pt idx="4">
                  <c:v>43355477</c:v>
                </c:pt>
                <c:pt idx="5">
                  <c:v>271791</c:v>
                </c:pt>
                <c:pt idx="6">
                  <c:v>8543467</c:v>
                </c:pt>
                <c:pt idx="7">
                  <c:v>172964</c:v>
                </c:pt>
                <c:pt idx="8">
                  <c:v>5306108</c:v>
                </c:pt>
                <c:pt idx="9">
                  <c:v>320012</c:v>
                </c:pt>
                <c:pt idx="10">
                  <c:v>17905919</c:v>
                </c:pt>
                <c:pt idx="11">
                  <c:v>7866200</c:v>
                </c:pt>
                <c:pt idx="12">
                  <c:v>1627867</c:v>
                </c:pt>
                <c:pt idx="13">
                  <c:v>369860391</c:v>
                </c:pt>
                <c:pt idx="14">
                  <c:v>3488533</c:v>
                </c:pt>
                <c:pt idx="15">
                  <c:v>11976400</c:v>
                </c:pt>
                <c:pt idx="16">
                  <c:v>15763400</c:v>
                </c:pt>
                <c:pt idx="17">
                  <c:v>7744000</c:v>
                </c:pt>
                <c:pt idx="18">
                  <c:v>69316</c:v>
                </c:pt>
                <c:pt idx="19">
                  <c:v>16847</c:v>
                </c:pt>
                <c:pt idx="20">
                  <c:v>25718701</c:v>
                </c:pt>
                <c:pt idx="21">
                  <c:v>28739800</c:v>
                </c:pt>
                <c:pt idx="22">
                  <c:v>756227</c:v>
                </c:pt>
                <c:pt idx="23">
                  <c:v>970841</c:v>
                </c:pt>
                <c:pt idx="24">
                  <c:v>297936</c:v>
                </c:pt>
                <c:pt idx="25">
                  <c:v>606564</c:v>
                </c:pt>
                <c:pt idx="26">
                  <c:v>11416133</c:v>
                </c:pt>
                <c:pt idx="27">
                  <c:v>290092</c:v>
                </c:pt>
                <c:pt idx="28">
                  <c:v>6612933</c:v>
                </c:pt>
                <c:pt idx="29">
                  <c:v>24532800</c:v>
                </c:pt>
                <c:pt idx="30">
                  <c:v>157033</c:v>
                </c:pt>
                <c:pt idx="31">
                  <c:v>16237200</c:v>
                </c:pt>
                <c:pt idx="32">
                  <c:v>8694400</c:v>
                </c:pt>
                <c:pt idx="33">
                  <c:v>899784</c:v>
                </c:pt>
                <c:pt idx="34">
                  <c:v>72355460</c:v>
                </c:pt>
                <c:pt idx="35">
                  <c:v>2917200</c:v>
                </c:pt>
                <c:pt idx="36">
                  <c:v>22135800</c:v>
                </c:pt>
              </c:numCache>
            </c:numRef>
          </c:val>
          <c:extLst>
            <c:ext xmlns:c16="http://schemas.microsoft.com/office/drawing/2014/chart" uri="{C3380CC4-5D6E-409C-BE32-E72D297353CC}">
              <c16:uniqueId val="{00000000-B23C-4CD0-8358-8968094D23C3}"/>
            </c:ext>
          </c:extLst>
        </c:ser>
        <c:dLbls>
          <c:showLegendKey val="0"/>
          <c:showVal val="0"/>
          <c:showCatName val="0"/>
          <c:showSerName val="0"/>
          <c:showPercent val="0"/>
          <c:showBubbleSize val="0"/>
        </c:dLbls>
        <c:gapWidth val="150"/>
        <c:shape val="box"/>
        <c:axId val="1982207535"/>
        <c:axId val="1982217135"/>
        <c:axId val="0"/>
      </c:bar3DChart>
      <c:catAx>
        <c:axId val="19822075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82217135"/>
        <c:crosses val="autoZero"/>
        <c:auto val="1"/>
        <c:lblAlgn val="ctr"/>
        <c:lblOffset val="100"/>
        <c:noMultiLvlLbl val="0"/>
      </c:catAx>
      <c:valAx>
        <c:axId val="198221713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822075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[Population by region and by age.xlsm]Overall_Boys_Population_Pivot!PivotTable2</c:name>
    <c:fmtId val="12"/>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Overall_Boys_Population_Pivot!$B$3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C7B0-4AF6-8795-0BF6C096564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C7B0-4AF6-8795-0BF6C096564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C7B0-4AF6-8795-0BF6C096564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C7B0-4AF6-8795-0BF6C096564E}"/>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C7B0-4AF6-8795-0BF6C096564E}"/>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C7B0-4AF6-8795-0BF6C096564E}"/>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C7B0-4AF6-8795-0BF6C096564E}"/>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C7B0-4AF6-8795-0BF6C096564E}"/>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C7B0-4AF6-8795-0BF6C096564E}"/>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C7B0-4AF6-8795-0BF6C096564E}"/>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C7B0-4AF6-8795-0BF6C096564E}"/>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7-C7B0-4AF6-8795-0BF6C096564E}"/>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9-C7B0-4AF6-8795-0BF6C096564E}"/>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B-C7B0-4AF6-8795-0BF6C096564E}"/>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D-C7B0-4AF6-8795-0BF6C096564E}"/>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F-C7B0-4AF6-8795-0BF6C096564E}"/>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1-C7B0-4AF6-8795-0BF6C096564E}"/>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3-C7B0-4AF6-8795-0BF6C096564E}"/>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5-C7B0-4AF6-8795-0BF6C096564E}"/>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7-C7B0-4AF6-8795-0BF6C096564E}"/>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9-C7B0-4AF6-8795-0BF6C096564E}"/>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B-C7B0-4AF6-8795-0BF6C096564E}"/>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D-C7B0-4AF6-8795-0BF6C096564E}"/>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F-C7B0-4AF6-8795-0BF6C096564E}"/>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1-C7B0-4AF6-8795-0BF6C096564E}"/>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3-C7B0-4AF6-8795-0BF6C096564E}"/>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5-C7B0-4AF6-8795-0BF6C096564E}"/>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7-C7B0-4AF6-8795-0BF6C096564E}"/>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9-C7B0-4AF6-8795-0BF6C096564E}"/>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B-C7B0-4AF6-8795-0BF6C096564E}"/>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D-C7B0-4AF6-8795-0BF6C096564E}"/>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F-C7B0-4AF6-8795-0BF6C096564E}"/>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1-C7B0-4AF6-8795-0BF6C096564E}"/>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3-C7B0-4AF6-8795-0BF6C096564E}"/>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5-C7B0-4AF6-8795-0BF6C096564E}"/>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7-C7B0-4AF6-8795-0BF6C096564E}"/>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9-C7B0-4AF6-8795-0BF6C096564E}"/>
              </c:ext>
            </c:extLst>
          </c:dPt>
          <c:cat>
            <c:strRef>
              <c:f>Overall_Boys_Population_Pivot!$A$4:$A$41</c:f>
              <c:strCache>
                <c:ptCount val="37"/>
                <c:pt idx="0">
                  <c:v>Andaman and Nicobar Islands</c:v>
                </c:pt>
                <c:pt idx="1">
                  <c:v>Andhra Pradesh</c:v>
                </c:pt>
                <c:pt idx="2">
                  <c:v>Arunachal Pradesh</c:v>
                </c:pt>
                <c:pt idx="3">
                  <c:v>Assam</c:v>
                </c:pt>
                <c:pt idx="4">
                  <c:v>Bihar</c:v>
                </c:pt>
                <c:pt idx="5">
                  <c:v>Chandigarh</c:v>
                </c:pt>
                <c:pt idx="6">
                  <c:v>Chhattisgarh</c:v>
                </c:pt>
                <c:pt idx="7">
                  <c:v>Dadra and Nagar Haveli and Daman and Diu</c:v>
                </c:pt>
                <c:pt idx="8">
                  <c:v>Delhi</c:v>
                </c:pt>
                <c:pt idx="9">
                  <c:v>Goa</c:v>
                </c:pt>
                <c:pt idx="10">
                  <c:v>Gujarat</c:v>
                </c:pt>
                <c:pt idx="11">
                  <c:v>Haryana</c:v>
                </c:pt>
                <c:pt idx="12">
                  <c:v>Himachal Pradesh</c:v>
                </c:pt>
                <c:pt idx="13">
                  <c:v>India</c:v>
                </c:pt>
                <c:pt idx="14">
                  <c:v>Jammu and Kashmir</c:v>
                </c:pt>
                <c:pt idx="15">
                  <c:v>Jharkhand</c:v>
                </c:pt>
                <c:pt idx="16">
                  <c:v>Karnataka</c:v>
                </c:pt>
                <c:pt idx="17">
                  <c:v>Kerala</c:v>
                </c:pt>
                <c:pt idx="18">
                  <c:v>Ladakh</c:v>
                </c:pt>
                <c:pt idx="19">
                  <c:v>Lakshadweep</c:v>
                </c:pt>
                <c:pt idx="20">
                  <c:v>Madhya Pradesh</c:v>
                </c:pt>
                <c:pt idx="21">
                  <c:v>Maharashtra</c:v>
                </c:pt>
                <c:pt idx="22">
                  <c:v>Manipur</c:v>
                </c:pt>
                <c:pt idx="23">
                  <c:v>Meghalaya</c:v>
                </c:pt>
                <c:pt idx="24">
                  <c:v>Mizoram</c:v>
                </c:pt>
                <c:pt idx="25">
                  <c:v>Nagaland</c:v>
                </c:pt>
                <c:pt idx="26">
                  <c:v>Odisha</c:v>
                </c:pt>
                <c:pt idx="27">
                  <c:v>Puducherry</c:v>
                </c:pt>
                <c:pt idx="28">
                  <c:v>Punjab</c:v>
                </c:pt>
                <c:pt idx="29">
                  <c:v>Rajasthan</c:v>
                </c:pt>
                <c:pt idx="30">
                  <c:v>Sikkim</c:v>
                </c:pt>
                <c:pt idx="31">
                  <c:v>Tamil Nadu</c:v>
                </c:pt>
                <c:pt idx="32">
                  <c:v>Telangana</c:v>
                </c:pt>
                <c:pt idx="33">
                  <c:v>Tripura</c:v>
                </c:pt>
                <c:pt idx="34">
                  <c:v>Uttar Pradesh</c:v>
                </c:pt>
                <c:pt idx="35">
                  <c:v>Uttarakhand</c:v>
                </c:pt>
                <c:pt idx="36">
                  <c:v>West Bengal</c:v>
                </c:pt>
              </c:strCache>
            </c:strRef>
          </c:cat>
          <c:val>
            <c:numRef>
              <c:f>Overall_Boys_Population_Pivot!$B$4:$B$41</c:f>
              <c:numCache>
                <c:formatCode>General</c:formatCode>
                <c:ptCount val="37"/>
                <c:pt idx="0">
                  <c:v>89501</c:v>
                </c:pt>
                <c:pt idx="1">
                  <c:v>11591800</c:v>
                </c:pt>
                <c:pt idx="2">
                  <c:v>433688</c:v>
                </c:pt>
                <c:pt idx="3">
                  <c:v>9978200</c:v>
                </c:pt>
                <c:pt idx="4">
                  <c:v>43355477</c:v>
                </c:pt>
                <c:pt idx="5">
                  <c:v>271791</c:v>
                </c:pt>
                <c:pt idx="6">
                  <c:v>8543467</c:v>
                </c:pt>
                <c:pt idx="7">
                  <c:v>172964</c:v>
                </c:pt>
                <c:pt idx="8">
                  <c:v>5306108</c:v>
                </c:pt>
                <c:pt idx="9">
                  <c:v>320012</c:v>
                </c:pt>
                <c:pt idx="10">
                  <c:v>17905919</c:v>
                </c:pt>
                <c:pt idx="11">
                  <c:v>7866200</c:v>
                </c:pt>
                <c:pt idx="12">
                  <c:v>1627867</c:v>
                </c:pt>
                <c:pt idx="13">
                  <c:v>369860391</c:v>
                </c:pt>
                <c:pt idx="14">
                  <c:v>3488533</c:v>
                </c:pt>
                <c:pt idx="15">
                  <c:v>11976400</c:v>
                </c:pt>
                <c:pt idx="16">
                  <c:v>15763400</c:v>
                </c:pt>
                <c:pt idx="17">
                  <c:v>7744000</c:v>
                </c:pt>
                <c:pt idx="18">
                  <c:v>69316</c:v>
                </c:pt>
                <c:pt idx="19">
                  <c:v>16847</c:v>
                </c:pt>
                <c:pt idx="20">
                  <c:v>25718701</c:v>
                </c:pt>
                <c:pt idx="21">
                  <c:v>28739800</c:v>
                </c:pt>
                <c:pt idx="22">
                  <c:v>756227</c:v>
                </c:pt>
                <c:pt idx="23">
                  <c:v>970841</c:v>
                </c:pt>
                <c:pt idx="24">
                  <c:v>297936</c:v>
                </c:pt>
                <c:pt idx="25">
                  <c:v>606564</c:v>
                </c:pt>
                <c:pt idx="26">
                  <c:v>11416133</c:v>
                </c:pt>
                <c:pt idx="27">
                  <c:v>290092</c:v>
                </c:pt>
                <c:pt idx="28">
                  <c:v>6612933</c:v>
                </c:pt>
                <c:pt idx="29">
                  <c:v>24532800</c:v>
                </c:pt>
                <c:pt idx="30">
                  <c:v>157033</c:v>
                </c:pt>
                <c:pt idx="31">
                  <c:v>16237200</c:v>
                </c:pt>
                <c:pt idx="32">
                  <c:v>8694400</c:v>
                </c:pt>
                <c:pt idx="33">
                  <c:v>899784</c:v>
                </c:pt>
                <c:pt idx="34">
                  <c:v>72355460</c:v>
                </c:pt>
                <c:pt idx="35">
                  <c:v>2917200</c:v>
                </c:pt>
                <c:pt idx="36">
                  <c:v>22135800</c:v>
                </c:pt>
              </c:numCache>
            </c:numRef>
          </c:val>
          <c:extLst>
            <c:ext xmlns:c16="http://schemas.microsoft.com/office/drawing/2014/chart" uri="{C3380CC4-5D6E-409C-BE32-E72D297353CC}">
              <c16:uniqueId val="{0000004A-C7B0-4AF6-8795-0BF6C096564E}"/>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[Population by region and by age.xlsm]Overall_Girls_Population_Pivot!PivotTable3</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dk1">
              <a:lumMod val="50000"/>
              <a:lumOff val="50000"/>
            </a:schemeClr>
          </a:solidFill>
          <a:round/>
        </a:ln>
        <a:effectLst/>
        <a:sp3d contourW="9525">
          <a:contourClr>
            <a:schemeClr val="dk1">
              <a:lumMod val="50000"/>
              <a:lumOff val="50000"/>
            </a:schemeClr>
          </a:contourClr>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strRef>
              <c:f>Overall_Girls_Population_Pivot!$B$3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Ref>
              <c:f>Overall_Girls_Population_Pivot!$A$4:$A$41</c:f>
              <c:strCache>
                <c:ptCount val="37"/>
                <c:pt idx="0">
                  <c:v>Andaman and Nicobar Islands</c:v>
                </c:pt>
                <c:pt idx="1">
                  <c:v>Andhra Pradesh</c:v>
                </c:pt>
                <c:pt idx="2">
                  <c:v>Arunachal Pradesh</c:v>
                </c:pt>
                <c:pt idx="3">
                  <c:v>Assam</c:v>
                </c:pt>
                <c:pt idx="4">
                  <c:v>Bihar</c:v>
                </c:pt>
                <c:pt idx="5">
                  <c:v>Chandigarh</c:v>
                </c:pt>
                <c:pt idx="6">
                  <c:v>Chhattisgarh</c:v>
                </c:pt>
                <c:pt idx="7">
                  <c:v>Dadra and Nagar Haveli and Daman and Diu</c:v>
                </c:pt>
                <c:pt idx="8">
                  <c:v>Delhi</c:v>
                </c:pt>
                <c:pt idx="9">
                  <c:v>Goa</c:v>
                </c:pt>
                <c:pt idx="10">
                  <c:v>Gujarat</c:v>
                </c:pt>
                <c:pt idx="11">
                  <c:v>Haryana</c:v>
                </c:pt>
                <c:pt idx="12">
                  <c:v>Himachal Pradesh</c:v>
                </c:pt>
                <c:pt idx="13">
                  <c:v>India</c:v>
                </c:pt>
                <c:pt idx="14">
                  <c:v>Jammu and Kashmir</c:v>
                </c:pt>
                <c:pt idx="15">
                  <c:v>Jharkhand</c:v>
                </c:pt>
                <c:pt idx="16">
                  <c:v>Karnataka</c:v>
                </c:pt>
                <c:pt idx="17">
                  <c:v>Kerala</c:v>
                </c:pt>
                <c:pt idx="18">
                  <c:v>Ladakh</c:v>
                </c:pt>
                <c:pt idx="19">
                  <c:v>Lakshadweep</c:v>
                </c:pt>
                <c:pt idx="20">
                  <c:v>Madhya Pradesh</c:v>
                </c:pt>
                <c:pt idx="21">
                  <c:v>Maharashtra</c:v>
                </c:pt>
                <c:pt idx="22">
                  <c:v>Manipur</c:v>
                </c:pt>
                <c:pt idx="23">
                  <c:v>Meghalaya</c:v>
                </c:pt>
                <c:pt idx="24">
                  <c:v>Mizoram</c:v>
                </c:pt>
                <c:pt idx="25">
                  <c:v>Nagaland</c:v>
                </c:pt>
                <c:pt idx="26">
                  <c:v>Odisha</c:v>
                </c:pt>
                <c:pt idx="27">
                  <c:v>Puducherry</c:v>
                </c:pt>
                <c:pt idx="28">
                  <c:v>Punjab</c:v>
                </c:pt>
                <c:pt idx="29">
                  <c:v>Rajasthan</c:v>
                </c:pt>
                <c:pt idx="30">
                  <c:v>Sikkim</c:v>
                </c:pt>
                <c:pt idx="31">
                  <c:v>Tamil Nadu</c:v>
                </c:pt>
                <c:pt idx="32">
                  <c:v>Telangana</c:v>
                </c:pt>
                <c:pt idx="33">
                  <c:v>Tripura</c:v>
                </c:pt>
                <c:pt idx="34">
                  <c:v>Uttar Pradesh</c:v>
                </c:pt>
                <c:pt idx="35">
                  <c:v>Uttarakhand</c:v>
                </c:pt>
                <c:pt idx="36">
                  <c:v>West Bengal</c:v>
                </c:pt>
              </c:strCache>
            </c:strRef>
          </c:cat>
          <c:val>
            <c:numRef>
              <c:f>Overall_Girls_Population_Pivot!$B$4:$B$41</c:f>
              <c:numCache>
                <c:formatCode>General</c:formatCode>
                <c:ptCount val="37"/>
                <c:pt idx="0">
                  <c:v>89501</c:v>
                </c:pt>
                <c:pt idx="1">
                  <c:v>11591800</c:v>
                </c:pt>
                <c:pt idx="2">
                  <c:v>433688</c:v>
                </c:pt>
                <c:pt idx="3">
                  <c:v>9978200</c:v>
                </c:pt>
                <c:pt idx="4">
                  <c:v>43355477</c:v>
                </c:pt>
                <c:pt idx="5">
                  <c:v>271791</c:v>
                </c:pt>
                <c:pt idx="6">
                  <c:v>8543467</c:v>
                </c:pt>
                <c:pt idx="7">
                  <c:v>172964</c:v>
                </c:pt>
                <c:pt idx="8">
                  <c:v>5306108</c:v>
                </c:pt>
                <c:pt idx="9">
                  <c:v>320012</c:v>
                </c:pt>
                <c:pt idx="10">
                  <c:v>17905919</c:v>
                </c:pt>
                <c:pt idx="11">
                  <c:v>7866200</c:v>
                </c:pt>
                <c:pt idx="12">
                  <c:v>1627867</c:v>
                </c:pt>
                <c:pt idx="13">
                  <c:v>369860391</c:v>
                </c:pt>
                <c:pt idx="14">
                  <c:v>3488533</c:v>
                </c:pt>
                <c:pt idx="15">
                  <c:v>11976400</c:v>
                </c:pt>
                <c:pt idx="16">
                  <c:v>15763400</c:v>
                </c:pt>
                <c:pt idx="17">
                  <c:v>7744000</c:v>
                </c:pt>
                <c:pt idx="18">
                  <c:v>69316</c:v>
                </c:pt>
                <c:pt idx="19">
                  <c:v>16847</c:v>
                </c:pt>
                <c:pt idx="20">
                  <c:v>25718701</c:v>
                </c:pt>
                <c:pt idx="21">
                  <c:v>28739800</c:v>
                </c:pt>
                <c:pt idx="22">
                  <c:v>756227</c:v>
                </c:pt>
                <c:pt idx="23">
                  <c:v>970841</c:v>
                </c:pt>
                <c:pt idx="24">
                  <c:v>297936</c:v>
                </c:pt>
                <c:pt idx="25">
                  <c:v>606564</c:v>
                </c:pt>
                <c:pt idx="26">
                  <c:v>11416133</c:v>
                </c:pt>
                <c:pt idx="27">
                  <c:v>290092</c:v>
                </c:pt>
                <c:pt idx="28">
                  <c:v>6612933</c:v>
                </c:pt>
                <c:pt idx="29">
                  <c:v>24532800</c:v>
                </c:pt>
                <c:pt idx="30">
                  <c:v>157033</c:v>
                </c:pt>
                <c:pt idx="31">
                  <c:v>16237200</c:v>
                </c:pt>
                <c:pt idx="32">
                  <c:v>8694400</c:v>
                </c:pt>
                <c:pt idx="33">
                  <c:v>899784</c:v>
                </c:pt>
                <c:pt idx="34">
                  <c:v>72355460</c:v>
                </c:pt>
                <c:pt idx="35">
                  <c:v>2917200</c:v>
                </c:pt>
                <c:pt idx="36">
                  <c:v>22135800</c:v>
                </c:pt>
              </c:numCache>
            </c:numRef>
          </c:val>
          <c:extLst>
            <c:ext xmlns:c16="http://schemas.microsoft.com/office/drawing/2014/chart" uri="{C3380CC4-5D6E-409C-BE32-E72D297353CC}">
              <c16:uniqueId val="{00000000-0A7E-4B46-9B0C-916BEDA862C9}"/>
            </c:ext>
          </c:extLst>
        </c:ser>
        <c:dLbls>
          <c:showLegendKey val="0"/>
          <c:showVal val="0"/>
          <c:showCatName val="0"/>
          <c:showSerName val="0"/>
          <c:showPercent val="0"/>
          <c:showBubbleSize val="0"/>
        </c:dLbls>
        <c:axId val="1993119215"/>
        <c:axId val="1993110575"/>
        <c:axId val="0"/>
      </c:area3DChart>
      <c:catAx>
        <c:axId val="1993119215"/>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93110575"/>
        <c:crosses val="autoZero"/>
        <c:auto val="1"/>
        <c:lblAlgn val="ctr"/>
        <c:lblOffset val="100"/>
        <c:noMultiLvlLbl val="0"/>
      </c:catAx>
      <c:valAx>
        <c:axId val="1993110575"/>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9311921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[Population by region and by age.xlsm]Overall_Girls_Population_Pivot!PivotTable3</c:name>
    <c:fmtId val="11"/>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Overall_Girls_Population_Pivot!$B$3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1AE-4D0E-96C8-85AF5282671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1AE-4D0E-96C8-85AF5282671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1AE-4D0E-96C8-85AF5282671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1AE-4D0E-96C8-85AF5282671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1AE-4D0E-96C8-85AF52826719}"/>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E1AE-4D0E-96C8-85AF52826719}"/>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E1AE-4D0E-96C8-85AF52826719}"/>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E1AE-4D0E-96C8-85AF52826719}"/>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E1AE-4D0E-96C8-85AF52826719}"/>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E1AE-4D0E-96C8-85AF52826719}"/>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E1AE-4D0E-96C8-85AF52826719}"/>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E1AE-4D0E-96C8-85AF52826719}"/>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E1AE-4D0E-96C8-85AF52826719}"/>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E1AE-4D0E-96C8-85AF52826719}"/>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E1AE-4D0E-96C8-85AF52826719}"/>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E1AE-4D0E-96C8-85AF52826719}"/>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E1AE-4D0E-96C8-85AF52826719}"/>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E1AE-4D0E-96C8-85AF52826719}"/>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E1AE-4D0E-96C8-85AF52826719}"/>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E1AE-4D0E-96C8-85AF52826719}"/>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E1AE-4D0E-96C8-85AF52826719}"/>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E1AE-4D0E-96C8-85AF52826719}"/>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E1AE-4D0E-96C8-85AF52826719}"/>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E1AE-4D0E-96C8-85AF52826719}"/>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E1AE-4D0E-96C8-85AF52826719}"/>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E1AE-4D0E-96C8-85AF52826719}"/>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E1AE-4D0E-96C8-85AF52826719}"/>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E1AE-4D0E-96C8-85AF52826719}"/>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E1AE-4D0E-96C8-85AF52826719}"/>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E1AE-4D0E-96C8-85AF52826719}"/>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E1AE-4D0E-96C8-85AF52826719}"/>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E1AE-4D0E-96C8-85AF52826719}"/>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E1AE-4D0E-96C8-85AF52826719}"/>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E1AE-4D0E-96C8-85AF52826719}"/>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E1AE-4D0E-96C8-85AF52826719}"/>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E1AE-4D0E-96C8-85AF52826719}"/>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E1AE-4D0E-96C8-85AF52826719}"/>
              </c:ext>
            </c:extLst>
          </c:dPt>
          <c:cat>
            <c:strRef>
              <c:f>Overall_Girls_Population_Pivot!$A$4:$A$41</c:f>
              <c:strCache>
                <c:ptCount val="37"/>
                <c:pt idx="0">
                  <c:v>Andaman and Nicobar Islands</c:v>
                </c:pt>
                <c:pt idx="1">
                  <c:v>Andhra Pradesh</c:v>
                </c:pt>
                <c:pt idx="2">
                  <c:v>Arunachal Pradesh</c:v>
                </c:pt>
                <c:pt idx="3">
                  <c:v>Assam</c:v>
                </c:pt>
                <c:pt idx="4">
                  <c:v>Bihar</c:v>
                </c:pt>
                <c:pt idx="5">
                  <c:v>Chandigarh</c:v>
                </c:pt>
                <c:pt idx="6">
                  <c:v>Chhattisgarh</c:v>
                </c:pt>
                <c:pt idx="7">
                  <c:v>Dadra and Nagar Haveli and Daman and Diu</c:v>
                </c:pt>
                <c:pt idx="8">
                  <c:v>Delhi</c:v>
                </c:pt>
                <c:pt idx="9">
                  <c:v>Goa</c:v>
                </c:pt>
                <c:pt idx="10">
                  <c:v>Gujarat</c:v>
                </c:pt>
                <c:pt idx="11">
                  <c:v>Haryana</c:v>
                </c:pt>
                <c:pt idx="12">
                  <c:v>Himachal Pradesh</c:v>
                </c:pt>
                <c:pt idx="13">
                  <c:v>India</c:v>
                </c:pt>
                <c:pt idx="14">
                  <c:v>Jammu and Kashmir</c:v>
                </c:pt>
                <c:pt idx="15">
                  <c:v>Jharkhand</c:v>
                </c:pt>
                <c:pt idx="16">
                  <c:v>Karnataka</c:v>
                </c:pt>
                <c:pt idx="17">
                  <c:v>Kerala</c:v>
                </c:pt>
                <c:pt idx="18">
                  <c:v>Ladakh</c:v>
                </c:pt>
                <c:pt idx="19">
                  <c:v>Lakshadweep</c:v>
                </c:pt>
                <c:pt idx="20">
                  <c:v>Madhya Pradesh</c:v>
                </c:pt>
                <c:pt idx="21">
                  <c:v>Maharashtra</c:v>
                </c:pt>
                <c:pt idx="22">
                  <c:v>Manipur</c:v>
                </c:pt>
                <c:pt idx="23">
                  <c:v>Meghalaya</c:v>
                </c:pt>
                <c:pt idx="24">
                  <c:v>Mizoram</c:v>
                </c:pt>
                <c:pt idx="25">
                  <c:v>Nagaland</c:v>
                </c:pt>
                <c:pt idx="26">
                  <c:v>Odisha</c:v>
                </c:pt>
                <c:pt idx="27">
                  <c:v>Puducherry</c:v>
                </c:pt>
                <c:pt idx="28">
                  <c:v>Punjab</c:v>
                </c:pt>
                <c:pt idx="29">
                  <c:v>Rajasthan</c:v>
                </c:pt>
                <c:pt idx="30">
                  <c:v>Sikkim</c:v>
                </c:pt>
                <c:pt idx="31">
                  <c:v>Tamil Nadu</c:v>
                </c:pt>
                <c:pt idx="32">
                  <c:v>Telangana</c:v>
                </c:pt>
                <c:pt idx="33">
                  <c:v>Tripura</c:v>
                </c:pt>
                <c:pt idx="34">
                  <c:v>Uttar Pradesh</c:v>
                </c:pt>
                <c:pt idx="35">
                  <c:v>Uttarakhand</c:v>
                </c:pt>
                <c:pt idx="36">
                  <c:v>West Bengal</c:v>
                </c:pt>
              </c:strCache>
            </c:strRef>
          </c:cat>
          <c:val>
            <c:numRef>
              <c:f>Overall_Girls_Population_Pivot!$B$4:$B$41</c:f>
              <c:numCache>
                <c:formatCode>General</c:formatCode>
                <c:ptCount val="37"/>
                <c:pt idx="0">
                  <c:v>89501</c:v>
                </c:pt>
                <c:pt idx="1">
                  <c:v>11591800</c:v>
                </c:pt>
                <c:pt idx="2">
                  <c:v>433688</c:v>
                </c:pt>
                <c:pt idx="3">
                  <c:v>9978200</c:v>
                </c:pt>
                <c:pt idx="4">
                  <c:v>43355477</c:v>
                </c:pt>
                <c:pt idx="5">
                  <c:v>271791</c:v>
                </c:pt>
                <c:pt idx="6">
                  <c:v>8543467</c:v>
                </c:pt>
                <c:pt idx="7">
                  <c:v>172964</c:v>
                </c:pt>
                <c:pt idx="8">
                  <c:v>5306108</c:v>
                </c:pt>
                <c:pt idx="9">
                  <c:v>320012</c:v>
                </c:pt>
                <c:pt idx="10">
                  <c:v>17905919</c:v>
                </c:pt>
                <c:pt idx="11">
                  <c:v>7866200</c:v>
                </c:pt>
                <c:pt idx="12">
                  <c:v>1627867</c:v>
                </c:pt>
                <c:pt idx="13">
                  <c:v>369860391</c:v>
                </c:pt>
                <c:pt idx="14">
                  <c:v>3488533</c:v>
                </c:pt>
                <c:pt idx="15">
                  <c:v>11976400</c:v>
                </c:pt>
                <c:pt idx="16">
                  <c:v>15763400</c:v>
                </c:pt>
                <c:pt idx="17">
                  <c:v>7744000</c:v>
                </c:pt>
                <c:pt idx="18">
                  <c:v>69316</c:v>
                </c:pt>
                <c:pt idx="19">
                  <c:v>16847</c:v>
                </c:pt>
                <c:pt idx="20">
                  <c:v>25718701</c:v>
                </c:pt>
                <c:pt idx="21">
                  <c:v>28739800</c:v>
                </c:pt>
                <c:pt idx="22">
                  <c:v>756227</c:v>
                </c:pt>
                <c:pt idx="23">
                  <c:v>970841</c:v>
                </c:pt>
                <c:pt idx="24">
                  <c:v>297936</c:v>
                </c:pt>
                <c:pt idx="25">
                  <c:v>606564</c:v>
                </c:pt>
                <c:pt idx="26">
                  <c:v>11416133</c:v>
                </c:pt>
                <c:pt idx="27">
                  <c:v>290092</c:v>
                </c:pt>
                <c:pt idx="28">
                  <c:v>6612933</c:v>
                </c:pt>
                <c:pt idx="29">
                  <c:v>24532800</c:v>
                </c:pt>
                <c:pt idx="30">
                  <c:v>157033</c:v>
                </c:pt>
                <c:pt idx="31">
                  <c:v>16237200</c:v>
                </c:pt>
                <c:pt idx="32">
                  <c:v>8694400</c:v>
                </c:pt>
                <c:pt idx="33">
                  <c:v>899784</c:v>
                </c:pt>
                <c:pt idx="34">
                  <c:v>72355460</c:v>
                </c:pt>
                <c:pt idx="35">
                  <c:v>2917200</c:v>
                </c:pt>
                <c:pt idx="36">
                  <c:v>22135800</c:v>
                </c:pt>
              </c:numCache>
            </c:numRef>
          </c:val>
          <c:extLst>
            <c:ext xmlns:c16="http://schemas.microsoft.com/office/drawing/2014/chart" uri="{C3380CC4-5D6E-409C-BE32-E72D297353CC}">
              <c16:uniqueId val="{0000004A-E1AE-4D0E-96C8-85AF5282671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[Population by region and by age.xlsm]Top_5_Populated_States_Pivot!PivotTable1</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Top_5_Populated_States_Pivot!$C$6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Top_5_Populated_States_Pivot!$B$7:$B$12</c:f>
              <c:strCache>
                <c:ptCount val="5"/>
                <c:pt idx="0">
                  <c:v>Bihar</c:v>
                </c:pt>
                <c:pt idx="1">
                  <c:v>Madhya Pradesh</c:v>
                </c:pt>
                <c:pt idx="2">
                  <c:v>Maharashtra</c:v>
                </c:pt>
                <c:pt idx="3">
                  <c:v>Rajasthan</c:v>
                </c:pt>
                <c:pt idx="4">
                  <c:v>Uttar Pradesh</c:v>
                </c:pt>
              </c:strCache>
            </c:strRef>
          </c:cat>
          <c:val>
            <c:numRef>
              <c:f>Top_5_Populated_States_Pivot!$C$7:$C$12</c:f>
              <c:numCache>
                <c:formatCode>#,##0</c:formatCode>
                <c:ptCount val="5"/>
                <c:pt idx="0">
                  <c:v>29981728</c:v>
                </c:pt>
                <c:pt idx="1">
                  <c:v>31730111</c:v>
                </c:pt>
                <c:pt idx="2">
                  <c:v>33640800</c:v>
                </c:pt>
                <c:pt idx="3">
                  <c:v>28028000</c:v>
                </c:pt>
                <c:pt idx="4">
                  <c:v>76063663</c:v>
                </c:pt>
              </c:numCache>
            </c:numRef>
          </c:val>
          <c:extLst>
            <c:ext xmlns:c16="http://schemas.microsoft.com/office/drawing/2014/chart" uri="{C3380CC4-5D6E-409C-BE32-E72D297353CC}">
              <c16:uniqueId val="{00000000-256A-4337-97A1-086F30EE9DC0}"/>
            </c:ext>
          </c:extLst>
        </c:ser>
        <c:dLbls>
          <c:showLegendKey val="0"/>
          <c:showVal val="0"/>
          <c:showCatName val="0"/>
          <c:showSerName val="0"/>
          <c:showPercent val="0"/>
          <c:showBubbleSize val="0"/>
        </c:dLbls>
        <c:gapWidth val="100"/>
        <c:overlap val="-24"/>
        <c:axId val="58708848"/>
        <c:axId val="58708368"/>
      </c:barChart>
      <c:catAx>
        <c:axId val="5870884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708368"/>
        <c:crosses val="autoZero"/>
        <c:auto val="1"/>
        <c:lblAlgn val="ctr"/>
        <c:lblOffset val="100"/>
        <c:noMultiLvlLbl val="0"/>
      </c:catAx>
      <c:valAx>
        <c:axId val="587083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708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[Population by region and by age.xlsm]Top_5_Populated_States_Pivot!PivotTable1</c:name>
    <c:fmtId val="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Top_5_Populated_States_Pivot!$C$6</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B318-4A15-8ECF-D02F287AF0F3}"/>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B318-4A15-8ECF-D02F287AF0F3}"/>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B318-4A15-8ECF-D02F287AF0F3}"/>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B318-4A15-8ECF-D02F287AF0F3}"/>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B318-4A15-8ECF-D02F287AF0F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Top_5_Populated_States_Pivot!$B$7:$B$12</c:f>
              <c:strCache>
                <c:ptCount val="5"/>
                <c:pt idx="0">
                  <c:v>Bihar</c:v>
                </c:pt>
                <c:pt idx="1">
                  <c:v>Madhya Pradesh</c:v>
                </c:pt>
                <c:pt idx="2">
                  <c:v>Maharashtra</c:v>
                </c:pt>
                <c:pt idx="3">
                  <c:v>Rajasthan</c:v>
                </c:pt>
                <c:pt idx="4">
                  <c:v>Uttar Pradesh</c:v>
                </c:pt>
              </c:strCache>
            </c:strRef>
          </c:cat>
          <c:val>
            <c:numRef>
              <c:f>Top_5_Populated_States_Pivot!$C$7:$C$12</c:f>
              <c:numCache>
                <c:formatCode>#,##0</c:formatCode>
                <c:ptCount val="5"/>
                <c:pt idx="0">
                  <c:v>29981728</c:v>
                </c:pt>
                <c:pt idx="1">
                  <c:v>31730111</c:v>
                </c:pt>
                <c:pt idx="2">
                  <c:v>33640800</c:v>
                </c:pt>
                <c:pt idx="3">
                  <c:v>28028000</c:v>
                </c:pt>
                <c:pt idx="4">
                  <c:v>76063663</c:v>
                </c:pt>
              </c:numCache>
            </c:numRef>
          </c:val>
          <c:extLst>
            <c:ext xmlns:c16="http://schemas.microsoft.com/office/drawing/2014/chart" uri="{C3380CC4-5D6E-409C-BE32-E72D297353CC}">
              <c16:uniqueId val="{0000000A-B318-4A15-8ECF-D02F287AF0F3}"/>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[Population by region and by age.xlsm]Top_5_Populated_States_Pivot!PivotTable1</c:name>
    <c:fmtId val="1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Top_5_Populated_States_Pivot!$C$6</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Top_5_Populated_States_Pivot!$B$7:$B$12</c:f>
              <c:strCache>
                <c:ptCount val="5"/>
                <c:pt idx="0">
                  <c:v>Bihar</c:v>
                </c:pt>
                <c:pt idx="1">
                  <c:v>Madhya Pradesh</c:v>
                </c:pt>
                <c:pt idx="2">
                  <c:v>Maharashtra</c:v>
                </c:pt>
                <c:pt idx="3">
                  <c:v>Rajasthan</c:v>
                </c:pt>
                <c:pt idx="4">
                  <c:v>Uttar Pradesh</c:v>
                </c:pt>
              </c:strCache>
            </c:strRef>
          </c:cat>
          <c:val>
            <c:numRef>
              <c:f>Top_5_Populated_States_Pivot!$C$7:$C$12</c:f>
              <c:numCache>
                <c:formatCode>#,##0</c:formatCode>
                <c:ptCount val="5"/>
                <c:pt idx="0">
                  <c:v>29981728</c:v>
                </c:pt>
                <c:pt idx="1">
                  <c:v>31730111</c:v>
                </c:pt>
                <c:pt idx="2">
                  <c:v>33640800</c:v>
                </c:pt>
                <c:pt idx="3">
                  <c:v>28028000</c:v>
                </c:pt>
                <c:pt idx="4">
                  <c:v>76063663</c:v>
                </c:pt>
              </c:numCache>
            </c:numRef>
          </c:val>
          <c:smooth val="0"/>
          <c:extLst>
            <c:ext xmlns:c16="http://schemas.microsoft.com/office/drawing/2014/chart" uri="{C3380CC4-5D6E-409C-BE32-E72D297353CC}">
              <c16:uniqueId val="{00000000-2825-47AF-AF31-46F58A5BF6A2}"/>
            </c:ext>
          </c:extLst>
        </c:ser>
        <c:dLbls>
          <c:showLegendKey val="0"/>
          <c:showVal val="0"/>
          <c:showCatName val="0"/>
          <c:showSerName val="0"/>
          <c:showPercent val="0"/>
          <c:showBubbleSize val="0"/>
        </c:dLbls>
        <c:marker val="1"/>
        <c:smooth val="0"/>
        <c:axId val="58732848"/>
        <c:axId val="58733328"/>
      </c:lineChart>
      <c:catAx>
        <c:axId val="5873284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733328"/>
        <c:crosses val="autoZero"/>
        <c:auto val="1"/>
        <c:lblAlgn val="ctr"/>
        <c:lblOffset val="100"/>
        <c:noMultiLvlLbl val="0"/>
      </c:catAx>
      <c:valAx>
        <c:axId val="587333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732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15">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spPr>
      <a:ln w="9525" cap="flat" cmpd="sng" algn="ctr">
        <a:solidFill>
          <a:schemeClr val="dk1">
            <a:lumMod val="50000"/>
            <a:lumOff val="50000"/>
          </a:schemeClr>
        </a:solidFill>
        <a:round/>
      </a:ln>
    </cs:spPr>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15">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spPr>
      <a:ln w="9525" cap="flat" cmpd="sng" algn="ctr">
        <a:solidFill>
          <a:schemeClr val="dk1">
            <a:lumMod val="50000"/>
            <a:lumOff val="50000"/>
          </a:schemeClr>
        </a:solidFill>
        <a:round/>
      </a:ln>
    </cs:spPr>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8" Type="http://schemas.openxmlformats.org/officeDocument/2006/relationships/chart" Target="../charts/chart17.xml"/><Relationship Id="rId3" Type="http://schemas.openxmlformats.org/officeDocument/2006/relationships/chart" Target="../charts/chart12.xml"/><Relationship Id="rId7" Type="http://schemas.openxmlformats.org/officeDocument/2006/relationships/chart" Target="../charts/chart16.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 Id="rId9"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3</xdr:col>
      <xdr:colOff>0</xdr:colOff>
      <xdr:row>14</xdr:row>
      <xdr:rowOff>130175</xdr:rowOff>
    </xdr:to>
    <mc:AlternateContent xmlns:mc="http://schemas.openxmlformats.org/markup-compatibility/2006" xmlns:a14="http://schemas.microsoft.com/office/drawing/2010/main">
      <mc:Choice Requires="a14">
        <xdr:graphicFrame macro="">
          <xdr:nvGraphicFramePr>
            <xdr:cNvPr id="2" name="India/State/UT">
              <a:extLst>
                <a:ext uri="{FF2B5EF4-FFF2-40B4-BE49-F238E27FC236}">
                  <a16:creationId xmlns:a16="http://schemas.microsoft.com/office/drawing/2014/main" id="{0BFD7338-5726-49A9-9B5A-C4C30EEE08DA}"/>
                </a:ext>
              </a:extLst>
            </xdr:cNvPr>
            <xdr:cNvGraphicFramePr/>
          </xdr:nvGraphicFramePr>
          <xdr:xfrm>
            <a:off x="0" y="0"/>
            <a:ext cx="0" cy="0"/>
          </xdr:xfrm>
          <a:graphic>
            <a:graphicData uri="http://schemas.microsoft.com/office/drawing/2010/slicer">
              <sle:slicer xmlns:sle="http://schemas.microsoft.com/office/drawing/2010/slicer" name="India/State/UT"/>
            </a:graphicData>
          </a:graphic>
        </xdr:graphicFrame>
      </mc:Choice>
      <mc:Fallback xmlns="">
        <xdr:sp macro="" textlink="">
          <xdr:nvSpPr>
            <xdr:cNvPr id="0" name=""/>
            <xdr:cNvSpPr>
              <a:spLocks noTextEdit="1"/>
            </xdr:cNvSpPr>
          </xdr:nvSpPr>
          <xdr:spPr>
            <a:xfrm>
              <a:off x="0" y="1841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0</xdr:colOff>
      <xdr:row>1</xdr:row>
      <xdr:rowOff>0</xdr:rowOff>
    </xdr:from>
    <xdr:to>
      <xdr:col>9</xdr:col>
      <xdr:colOff>0</xdr:colOff>
      <xdr:row>14</xdr:row>
      <xdr:rowOff>130175</xdr:rowOff>
    </xdr:to>
    <mc:AlternateContent xmlns:mc="http://schemas.openxmlformats.org/markup-compatibility/2006" xmlns:a14="http://schemas.microsoft.com/office/drawing/2010/main">
      <mc:Choice Requires="a14">
        <xdr:graphicFrame macro="">
          <xdr:nvGraphicFramePr>
            <xdr:cNvPr id="3" name="Population - Status">
              <a:extLst>
                <a:ext uri="{FF2B5EF4-FFF2-40B4-BE49-F238E27FC236}">
                  <a16:creationId xmlns:a16="http://schemas.microsoft.com/office/drawing/2014/main" id="{2AD3ECE4-5808-4F17-8DE5-B1C447810913}"/>
                </a:ext>
              </a:extLst>
            </xdr:cNvPr>
            <xdr:cNvGraphicFramePr/>
          </xdr:nvGraphicFramePr>
          <xdr:xfrm>
            <a:off x="0" y="0"/>
            <a:ext cx="0" cy="0"/>
          </xdr:xfrm>
          <a:graphic>
            <a:graphicData uri="http://schemas.microsoft.com/office/drawing/2010/slicer">
              <sle:slicer xmlns:sle="http://schemas.microsoft.com/office/drawing/2010/slicer" name="Population - Status"/>
            </a:graphicData>
          </a:graphic>
        </xdr:graphicFrame>
      </mc:Choice>
      <mc:Fallback xmlns="">
        <xdr:sp macro="" textlink="">
          <xdr:nvSpPr>
            <xdr:cNvPr id="0" name=""/>
            <xdr:cNvSpPr>
              <a:spLocks noTextEdit="1"/>
            </xdr:cNvSpPr>
          </xdr:nvSpPr>
          <xdr:spPr>
            <a:xfrm>
              <a:off x="3657600" y="1841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0</xdr:rowOff>
    </xdr:from>
    <xdr:to>
      <xdr:col>7</xdr:col>
      <xdr:colOff>304800</xdr:colOff>
      <xdr:row>15</xdr:row>
      <xdr:rowOff>165100</xdr:rowOff>
    </xdr:to>
    <xdr:graphicFrame macro="">
      <xdr:nvGraphicFramePr>
        <xdr:cNvPr id="6" name="Chart 5">
          <a:extLst>
            <a:ext uri="{FF2B5EF4-FFF2-40B4-BE49-F238E27FC236}">
              <a16:creationId xmlns:a16="http://schemas.microsoft.com/office/drawing/2014/main" id="{CF9D9B38-CB83-4111-9AD6-780993821B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1</xdr:row>
      <xdr:rowOff>0</xdr:rowOff>
    </xdr:from>
    <xdr:to>
      <xdr:col>17</xdr:col>
      <xdr:colOff>304800</xdr:colOff>
      <xdr:row>15</xdr:row>
      <xdr:rowOff>165100</xdr:rowOff>
    </xdr:to>
    <xdr:graphicFrame macro="">
      <xdr:nvGraphicFramePr>
        <xdr:cNvPr id="7" name="Chart 6">
          <a:extLst>
            <a:ext uri="{FF2B5EF4-FFF2-40B4-BE49-F238E27FC236}">
              <a16:creationId xmlns:a16="http://schemas.microsoft.com/office/drawing/2014/main" id="{4805BCE2-9CF5-4B6C-A8AA-061BA7872C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44450</xdr:rowOff>
    </xdr:from>
    <xdr:to>
      <xdr:col>3</xdr:col>
      <xdr:colOff>0</xdr:colOff>
      <xdr:row>14</xdr:row>
      <xdr:rowOff>174625</xdr:rowOff>
    </xdr:to>
    <mc:AlternateContent xmlns:mc="http://schemas.openxmlformats.org/markup-compatibility/2006" xmlns:a14="http://schemas.microsoft.com/office/drawing/2010/main">
      <mc:Choice Requires="a14">
        <xdr:graphicFrame macro="">
          <xdr:nvGraphicFramePr>
            <xdr:cNvPr id="2" name="India/State/UT 1">
              <a:extLst>
                <a:ext uri="{FF2B5EF4-FFF2-40B4-BE49-F238E27FC236}">
                  <a16:creationId xmlns:a16="http://schemas.microsoft.com/office/drawing/2014/main" id="{68FED7A0-D4D0-4644-99BA-51C837BB4167}"/>
                </a:ext>
              </a:extLst>
            </xdr:cNvPr>
            <xdr:cNvGraphicFramePr/>
          </xdr:nvGraphicFramePr>
          <xdr:xfrm>
            <a:off x="0" y="0"/>
            <a:ext cx="0" cy="0"/>
          </xdr:xfrm>
          <a:graphic>
            <a:graphicData uri="http://schemas.microsoft.com/office/drawing/2010/slicer">
              <sle:slicer xmlns:sle="http://schemas.microsoft.com/office/drawing/2010/slicer" name="India/State/UT 1"/>
            </a:graphicData>
          </a:graphic>
        </xdr:graphicFrame>
      </mc:Choice>
      <mc:Fallback xmlns="">
        <xdr:sp macro="" textlink="">
          <xdr:nvSpPr>
            <xdr:cNvPr id="0" name=""/>
            <xdr:cNvSpPr>
              <a:spLocks noTextEdit="1"/>
            </xdr:cNvSpPr>
          </xdr:nvSpPr>
          <xdr:spPr>
            <a:xfrm>
              <a:off x="0" y="2286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0</xdr:colOff>
      <xdr:row>1</xdr:row>
      <xdr:rowOff>1</xdr:rowOff>
    </xdr:from>
    <xdr:to>
      <xdr:col>9</xdr:col>
      <xdr:colOff>0</xdr:colOff>
      <xdr:row>7</xdr:row>
      <xdr:rowOff>63501</xdr:rowOff>
    </xdr:to>
    <mc:AlternateContent xmlns:mc="http://schemas.openxmlformats.org/markup-compatibility/2006" xmlns:a14="http://schemas.microsoft.com/office/drawing/2010/main">
      <mc:Choice Requires="a14">
        <xdr:graphicFrame macro="">
          <xdr:nvGraphicFramePr>
            <xdr:cNvPr id="3" name="Overall - Boys - Population - Status">
              <a:extLst>
                <a:ext uri="{FF2B5EF4-FFF2-40B4-BE49-F238E27FC236}">
                  <a16:creationId xmlns:a16="http://schemas.microsoft.com/office/drawing/2014/main" id="{DEF844FC-8805-4BA0-BE05-64C810047BA9}"/>
                </a:ext>
              </a:extLst>
            </xdr:cNvPr>
            <xdr:cNvGraphicFramePr/>
          </xdr:nvGraphicFramePr>
          <xdr:xfrm>
            <a:off x="0" y="0"/>
            <a:ext cx="0" cy="0"/>
          </xdr:xfrm>
          <a:graphic>
            <a:graphicData uri="http://schemas.microsoft.com/office/drawing/2010/slicer">
              <sle:slicer xmlns:sle="http://schemas.microsoft.com/office/drawing/2010/slicer" name="Overall - Boys - Population - Status"/>
            </a:graphicData>
          </a:graphic>
        </xdr:graphicFrame>
      </mc:Choice>
      <mc:Fallback xmlns="">
        <xdr:sp macro="" textlink="">
          <xdr:nvSpPr>
            <xdr:cNvPr id="0" name=""/>
            <xdr:cNvSpPr>
              <a:spLocks noTextEdit="1"/>
            </xdr:cNvSpPr>
          </xdr:nvSpPr>
          <xdr:spPr>
            <a:xfrm>
              <a:off x="3657600" y="1841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xdr:row>
      <xdr:rowOff>0</xdr:rowOff>
    </xdr:from>
    <xdr:to>
      <xdr:col>7</xdr:col>
      <xdr:colOff>304800</xdr:colOff>
      <xdr:row>16</xdr:row>
      <xdr:rowOff>165100</xdr:rowOff>
    </xdr:to>
    <xdr:graphicFrame macro="">
      <xdr:nvGraphicFramePr>
        <xdr:cNvPr id="2" name="Chart 1">
          <a:extLst>
            <a:ext uri="{FF2B5EF4-FFF2-40B4-BE49-F238E27FC236}">
              <a16:creationId xmlns:a16="http://schemas.microsoft.com/office/drawing/2014/main" id="{F9DF4DEA-4F2E-49F9-A35D-D4A86437A9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2</xdr:row>
      <xdr:rowOff>0</xdr:rowOff>
    </xdr:from>
    <xdr:to>
      <xdr:col>17</xdr:col>
      <xdr:colOff>304800</xdr:colOff>
      <xdr:row>16</xdr:row>
      <xdr:rowOff>165100</xdr:rowOff>
    </xdr:to>
    <xdr:graphicFrame macro="">
      <xdr:nvGraphicFramePr>
        <xdr:cNvPr id="3" name="Chart 2">
          <a:extLst>
            <a:ext uri="{FF2B5EF4-FFF2-40B4-BE49-F238E27FC236}">
              <a16:creationId xmlns:a16="http://schemas.microsoft.com/office/drawing/2014/main" id="{B2B53C6D-4843-45BC-8DCB-C873E94BB7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3</xdr:col>
      <xdr:colOff>0</xdr:colOff>
      <xdr:row>14</xdr:row>
      <xdr:rowOff>142875</xdr:rowOff>
    </xdr:to>
    <mc:AlternateContent xmlns:mc="http://schemas.openxmlformats.org/markup-compatibility/2006" xmlns:a14="http://schemas.microsoft.com/office/drawing/2010/main">
      <mc:Choice Requires="a14">
        <xdr:graphicFrame macro="">
          <xdr:nvGraphicFramePr>
            <xdr:cNvPr id="2" name="India/State/UT 2">
              <a:extLst>
                <a:ext uri="{FF2B5EF4-FFF2-40B4-BE49-F238E27FC236}">
                  <a16:creationId xmlns:a16="http://schemas.microsoft.com/office/drawing/2014/main" id="{9FC27BC7-900E-4175-A9D2-B4B968F108A3}"/>
                </a:ext>
              </a:extLst>
            </xdr:cNvPr>
            <xdr:cNvGraphicFramePr/>
          </xdr:nvGraphicFramePr>
          <xdr:xfrm>
            <a:off x="0" y="0"/>
            <a:ext cx="0" cy="0"/>
          </xdr:xfrm>
          <a:graphic>
            <a:graphicData uri="http://schemas.microsoft.com/office/drawing/2010/slicer">
              <sle:slicer xmlns:sle="http://schemas.microsoft.com/office/drawing/2010/slicer" name="India/State/UT 2"/>
            </a:graphicData>
          </a:graphic>
        </xdr:graphicFrame>
      </mc:Choice>
      <mc:Fallback xmlns="">
        <xdr:sp macro="" textlink="">
          <xdr:nvSpPr>
            <xdr:cNvPr id="0" name=""/>
            <xdr:cNvSpPr>
              <a:spLocks noTextEdit="1"/>
            </xdr:cNvSpPr>
          </xdr:nvSpPr>
          <xdr:spPr>
            <a:xfrm>
              <a:off x="0" y="184150"/>
              <a:ext cx="1828800" cy="25368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0</xdr:colOff>
      <xdr:row>1</xdr:row>
      <xdr:rowOff>1</xdr:rowOff>
    </xdr:from>
    <xdr:to>
      <xdr:col>9</xdr:col>
      <xdr:colOff>0</xdr:colOff>
      <xdr:row>6</xdr:row>
      <xdr:rowOff>88901</xdr:rowOff>
    </xdr:to>
    <mc:AlternateContent xmlns:mc="http://schemas.openxmlformats.org/markup-compatibility/2006" xmlns:a14="http://schemas.microsoft.com/office/drawing/2010/main">
      <mc:Choice Requires="a14">
        <xdr:graphicFrame macro="">
          <xdr:nvGraphicFramePr>
            <xdr:cNvPr id="3" name="Overall - Girls - Population - Status">
              <a:extLst>
                <a:ext uri="{FF2B5EF4-FFF2-40B4-BE49-F238E27FC236}">
                  <a16:creationId xmlns:a16="http://schemas.microsoft.com/office/drawing/2014/main" id="{1E363C7C-7521-4BB7-BC60-8E3367439701}"/>
                </a:ext>
              </a:extLst>
            </xdr:cNvPr>
            <xdr:cNvGraphicFramePr/>
          </xdr:nvGraphicFramePr>
          <xdr:xfrm>
            <a:off x="0" y="0"/>
            <a:ext cx="0" cy="0"/>
          </xdr:xfrm>
          <a:graphic>
            <a:graphicData uri="http://schemas.microsoft.com/office/drawing/2010/slicer">
              <sle:slicer xmlns:sle="http://schemas.microsoft.com/office/drawing/2010/slicer" name="Overall - Girls - Population - Status"/>
            </a:graphicData>
          </a:graphic>
        </xdr:graphicFrame>
      </mc:Choice>
      <mc:Fallback xmlns="">
        <xdr:sp macro="" textlink="">
          <xdr:nvSpPr>
            <xdr:cNvPr id="0" name=""/>
            <xdr:cNvSpPr>
              <a:spLocks noTextEdit="1"/>
            </xdr:cNvSpPr>
          </xdr:nvSpPr>
          <xdr:spPr>
            <a:xfrm>
              <a:off x="3657600" y="1841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0</xdr:rowOff>
    </xdr:from>
    <xdr:to>
      <xdr:col>7</xdr:col>
      <xdr:colOff>57150</xdr:colOff>
      <xdr:row>16</xdr:row>
      <xdr:rowOff>165100</xdr:rowOff>
    </xdr:to>
    <xdr:graphicFrame macro="">
      <xdr:nvGraphicFramePr>
        <xdr:cNvPr id="2" name="Chart 1">
          <a:extLst>
            <a:ext uri="{FF2B5EF4-FFF2-40B4-BE49-F238E27FC236}">
              <a16:creationId xmlns:a16="http://schemas.microsoft.com/office/drawing/2014/main" id="{35727D2F-A5A2-4C37-B122-587CEA44F4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16</xdr:col>
      <xdr:colOff>304800</xdr:colOff>
      <xdr:row>16</xdr:row>
      <xdr:rowOff>165100</xdr:rowOff>
    </xdr:to>
    <xdr:graphicFrame macro="">
      <xdr:nvGraphicFramePr>
        <xdr:cNvPr id="3" name="Chart 2">
          <a:extLst>
            <a:ext uri="{FF2B5EF4-FFF2-40B4-BE49-F238E27FC236}">
              <a16:creationId xmlns:a16="http://schemas.microsoft.com/office/drawing/2014/main" id="{DB77DB0B-557F-4513-A717-8EA4E0DA1E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4</xdr:col>
      <xdr:colOff>0</xdr:colOff>
      <xdr:row>10</xdr:row>
      <xdr:rowOff>25400</xdr:rowOff>
    </xdr:to>
    <mc:AlternateContent xmlns:mc="http://schemas.openxmlformats.org/markup-compatibility/2006" xmlns:a14="http://schemas.microsoft.com/office/drawing/2010/main">
      <mc:Choice Requires="a14">
        <xdr:graphicFrame macro="">
          <xdr:nvGraphicFramePr>
            <xdr:cNvPr id="2" name="State">
              <a:extLst>
                <a:ext uri="{FF2B5EF4-FFF2-40B4-BE49-F238E27FC236}">
                  <a16:creationId xmlns:a16="http://schemas.microsoft.com/office/drawing/2014/main" id="{A6FE0F7F-0396-4642-AEFB-C34F22A8E33F}"/>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609600" y="368300"/>
              <a:ext cx="1828800" cy="1498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3</xdr:row>
      <xdr:rowOff>0</xdr:rowOff>
    </xdr:from>
    <xdr:to>
      <xdr:col>8</xdr:col>
      <xdr:colOff>304800</xdr:colOff>
      <xdr:row>17</xdr:row>
      <xdr:rowOff>165100</xdr:rowOff>
    </xdr:to>
    <xdr:graphicFrame macro="">
      <xdr:nvGraphicFramePr>
        <xdr:cNvPr id="2" name="Chart 1">
          <a:extLst>
            <a:ext uri="{FF2B5EF4-FFF2-40B4-BE49-F238E27FC236}">
              <a16:creationId xmlns:a16="http://schemas.microsoft.com/office/drawing/2014/main" id="{1325ECF4-DCC4-41DD-BF7E-3C7519854C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20</xdr:row>
      <xdr:rowOff>0</xdr:rowOff>
    </xdr:from>
    <xdr:to>
      <xdr:col>8</xdr:col>
      <xdr:colOff>304800</xdr:colOff>
      <xdr:row>34</xdr:row>
      <xdr:rowOff>165100</xdr:rowOff>
    </xdr:to>
    <xdr:graphicFrame macro="">
      <xdr:nvGraphicFramePr>
        <xdr:cNvPr id="3" name="Chart 2">
          <a:extLst>
            <a:ext uri="{FF2B5EF4-FFF2-40B4-BE49-F238E27FC236}">
              <a16:creationId xmlns:a16="http://schemas.microsoft.com/office/drawing/2014/main" id="{DC3F8F97-A141-4726-BE3F-4A87C99732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3</xdr:row>
      <xdr:rowOff>0</xdr:rowOff>
    </xdr:from>
    <xdr:to>
      <xdr:col>17</xdr:col>
      <xdr:colOff>304800</xdr:colOff>
      <xdr:row>17</xdr:row>
      <xdr:rowOff>165100</xdr:rowOff>
    </xdr:to>
    <xdr:graphicFrame macro="">
      <xdr:nvGraphicFramePr>
        <xdr:cNvPr id="4" name="Chart 3">
          <a:extLst>
            <a:ext uri="{FF2B5EF4-FFF2-40B4-BE49-F238E27FC236}">
              <a16:creationId xmlns:a16="http://schemas.microsoft.com/office/drawing/2014/main" id="{926C4B9D-4EB9-4D09-9701-0B7459E8F8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oneCellAnchor>
    <xdr:from>
      <xdr:col>0</xdr:col>
      <xdr:colOff>0</xdr:colOff>
      <xdr:row>0</xdr:row>
      <xdr:rowOff>26485</xdr:rowOff>
    </xdr:from>
    <xdr:ext cx="12941300" cy="937629"/>
    <xdr:sp macro="" textlink="">
      <xdr:nvSpPr>
        <xdr:cNvPr id="2" name="Rectangle 1">
          <a:extLst>
            <a:ext uri="{FF2B5EF4-FFF2-40B4-BE49-F238E27FC236}">
              <a16:creationId xmlns:a16="http://schemas.microsoft.com/office/drawing/2014/main" id="{6238D23F-92DF-A546-0A84-84D423EDEF21}"/>
            </a:ext>
          </a:extLst>
        </xdr:cNvPr>
        <xdr:cNvSpPr/>
      </xdr:nvSpPr>
      <xdr:spPr>
        <a:xfrm>
          <a:off x="0" y="26485"/>
          <a:ext cx="12941300" cy="937629"/>
        </a:xfrm>
        <a:prstGeom prst="rect">
          <a:avLst/>
        </a:prstGeom>
        <a:solidFill>
          <a:srgbClr val="92D050"/>
        </a:solidFill>
      </xdr:spPr>
      <xdr:txBody>
        <a:bodyPr wrap="square" lIns="91440" tIns="45720" rIns="91440" bIns="45720">
          <a:spAutoFit/>
        </a:bodyPr>
        <a:lstStyle/>
        <a:p>
          <a:pPr algn="ctr"/>
          <a:r>
            <a:rPr lang="en-US" sz="5400" b="1" cap="none" spc="0">
              <a:ln w="12700">
                <a:solidFill>
                  <a:schemeClr val="accent1"/>
                </a:solidFill>
                <a:prstDash val="solid"/>
              </a:ln>
              <a:solidFill>
                <a:schemeClr val="accent5">
                  <a:lumMod val="60000"/>
                  <a:lumOff val="40000"/>
                </a:schemeClr>
              </a:solidFill>
              <a:effectLst>
                <a:outerShdw blurRad="50800" dist="38100" algn="l" rotWithShape="0">
                  <a:prstClr val="black">
                    <a:alpha val="40000"/>
                  </a:prstClr>
                </a:outerShdw>
              </a:effectLst>
            </a:rPr>
            <a:t>OVERALL_POPULATION</a:t>
          </a:r>
        </a:p>
      </xdr:txBody>
    </xdr:sp>
    <xdr:clientData/>
  </xdr:oneCellAnchor>
  <xdr:oneCellAnchor>
    <xdr:from>
      <xdr:col>0</xdr:col>
      <xdr:colOff>6350</xdr:colOff>
      <xdr:row>20</xdr:row>
      <xdr:rowOff>44450</xdr:rowOff>
    </xdr:from>
    <xdr:ext cx="12915900" cy="937629"/>
    <xdr:sp macro="" textlink="">
      <xdr:nvSpPr>
        <xdr:cNvPr id="3" name="Rectangle 2">
          <a:extLst>
            <a:ext uri="{FF2B5EF4-FFF2-40B4-BE49-F238E27FC236}">
              <a16:creationId xmlns:a16="http://schemas.microsoft.com/office/drawing/2014/main" id="{7FB114B0-3060-4F0E-8046-ED7AFDBF9492}"/>
            </a:ext>
          </a:extLst>
        </xdr:cNvPr>
        <xdr:cNvSpPr/>
      </xdr:nvSpPr>
      <xdr:spPr>
        <a:xfrm>
          <a:off x="6350" y="3727450"/>
          <a:ext cx="12915900" cy="937629"/>
        </a:xfrm>
        <a:prstGeom prst="rect">
          <a:avLst/>
        </a:prstGeom>
        <a:solidFill>
          <a:srgbClr val="92D050"/>
        </a:solidFill>
      </xdr:spPr>
      <xdr:txBody>
        <a:bodyPr wrap="square" lIns="91440" tIns="45720" rIns="91440" bIns="45720">
          <a:spAutoFit/>
        </a:bodyPr>
        <a:lstStyle/>
        <a:p>
          <a:pPr algn="ctr"/>
          <a:r>
            <a:rPr lang="en-US" sz="5400" b="1" cap="none" spc="0">
              <a:ln w="12700">
                <a:solidFill>
                  <a:schemeClr val="accent1"/>
                </a:solidFill>
                <a:prstDash val="solid"/>
              </a:ln>
              <a:solidFill>
                <a:schemeClr val="accent5">
                  <a:lumMod val="60000"/>
                  <a:lumOff val="40000"/>
                </a:schemeClr>
              </a:solidFill>
              <a:effectLst>
                <a:outerShdw blurRad="50800" dist="38100" algn="l" rotWithShape="0">
                  <a:prstClr val="black">
                    <a:alpha val="40000"/>
                  </a:prstClr>
                </a:outerShdw>
              </a:effectLst>
            </a:rPr>
            <a:t>OVERALL_BOYS_POPULATION</a:t>
          </a:r>
        </a:p>
      </xdr:txBody>
    </xdr:sp>
    <xdr:clientData/>
  </xdr:oneCellAnchor>
  <xdr:oneCellAnchor>
    <xdr:from>
      <xdr:col>0</xdr:col>
      <xdr:colOff>0</xdr:colOff>
      <xdr:row>39</xdr:row>
      <xdr:rowOff>0</xdr:rowOff>
    </xdr:from>
    <xdr:ext cx="12890500" cy="937629"/>
    <xdr:sp macro="" textlink="">
      <xdr:nvSpPr>
        <xdr:cNvPr id="4" name="Rectangle 3">
          <a:extLst>
            <a:ext uri="{FF2B5EF4-FFF2-40B4-BE49-F238E27FC236}">
              <a16:creationId xmlns:a16="http://schemas.microsoft.com/office/drawing/2014/main" id="{D6BAB5D4-C15E-48FB-8E62-F65CA32C32D2}"/>
            </a:ext>
          </a:extLst>
        </xdr:cNvPr>
        <xdr:cNvSpPr/>
      </xdr:nvSpPr>
      <xdr:spPr>
        <a:xfrm>
          <a:off x="0" y="7181850"/>
          <a:ext cx="12890500" cy="937629"/>
        </a:xfrm>
        <a:prstGeom prst="rect">
          <a:avLst/>
        </a:prstGeom>
        <a:solidFill>
          <a:srgbClr val="92D050"/>
        </a:solidFill>
      </xdr:spPr>
      <xdr:txBody>
        <a:bodyPr wrap="square" lIns="91440" tIns="45720" rIns="91440" bIns="45720">
          <a:spAutoFit/>
        </a:bodyPr>
        <a:lstStyle/>
        <a:p>
          <a:pPr algn="ctr"/>
          <a:r>
            <a:rPr lang="en-US" sz="5400" b="1" cap="none" spc="0">
              <a:ln w="12700">
                <a:solidFill>
                  <a:schemeClr val="accent1"/>
                </a:solidFill>
                <a:prstDash val="solid"/>
              </a:ln>
              <a:solidFill>
                <a:schemeClr val="accent5">
                  <a:lumMod val="60000"/>
                  <a:lumOff val="40000"/>
                </a:schemeClr>
              </a:solidFill>
              <a:effectLst>
                <a:outerShdw blurRad="50800" dist="38100" algn="l" rotWithShape="0">
                  <a:prstClr val="black">
                    <a:alpha val="40000"/>
                  </a:prstClr>
                </a:outerShdw>
              </a:effectLst>
            </a:rPr>
            <a:t>OVERALL_GIRLS_POPULATION</a:t>
          </a:r>
        </a:p>
      </xdr:txBody>
    </xdr:sp>
    <xdr:clientData/>
  </xdr:oneCellAnchor>
  <xdr:twoCellAnchor editAs="oneCell">
    <xdr:from>
      <xdr:col>0</xdr:col>
      <xdr:colOff>0</xdr:colOff>
      <xdr:row>5</xdr:row>
      <xdr:rowOff>57150</xdr:rowOff>
    </xdr:from>
    <xdr:to>
      <xdr:col>3</xdr:col>
      <xdr:colOff>0</xdr:colOff>
      <xdr:row>8</xdr:row>
      <xdr:rowOff>120650</xdr:rowOff>
    </xdr:to>
    <mc:AlternateContent xmlns:mc="http://schemas.openxmlformats.org/markup-compatibility/2006" xmlns:a14="http://schemas.microsoft.com/office/drawing/2010/main">
      <mc:Choice Requires="a14">
        <xdr:graphicFrame macro="">
          <xdr:nvGraphicFramePr>
            <xdr:cNvPr id="8" name="Population - Status 1">
              <a:extLst>
                <a:ext uri="{FF2B5EF4-FFF2-40B4-BE49-F238E27FC236}">
                  <a16:creationId xmlns:a16="http://schemas.microsoft.com/office/drawing/2014/main" id="{8754DC5F-6F35-4CD8-ABE7-F0FE1F64CE42}"/>
                </a:ext>
              </a:extLst>
            </xdr:cNvPr>
            <xdr:cNvGraphicFramePr/>
          </xdr:nvGraphicFramePr>
          <xdr:xfrm>
            <a:off x="0" y="0"/>
            <a:ext cx="0" cy="0"/>
          </xdr:xfrm>
          <a:graphic>
            <a:graphicData uri="http://schemas.microsoft.com/office/drawing/2010/slicer">
              <sle:slicer xmlns:sle="http://schemas.microsoft.com/office/drawing/2010/slicer" name="Population - Status 1"/>
            </a:graphicData>
          </a:graphic>
        </xdr:graphicFrame>
      </mc:Choice>
      <mc:Fallback xmlns="">
        <xdr:sp macro="" textlink="">
          <xdr:nvSpPr>
            <xdr:cNvPr id="0" name=""/>
            <xdr:cNvSpPr>
              <a:spLocks noTextEdit="1"/>
            </xdr:cNvSpPr>
          </xdr:nvSpPr>
          <xdr:spPr>
            <a:xfrm>
              <a:off x="0" y="977900"/>
              <a:ext cx="1828800" cy="615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31750</xdr:colOff>
      <xdr:row>5</xdr:row>
      <xdr:rowOff>57150</xdr:rowOff>
    </xdr:from>
    <xdr:to>
      <xdr:col>9</xdr:col>
      <xdr:colOff>495300</xdr:colOff>
      <xdr:row>20</xdr:row>
      <xdr:rowOff>6350</xdr:rowOff>
    </xdr:to>
    <xdr:graphicFrame macro="">
      <xdr:nvGraphicFramePr>
        <xdr:cNvPr id="9" name="Chart 8">
          <a:extLst>
            <a:ext uri="{FF2B5EF4-FFF2-40B4-BE49-F238E27FC236}">
              <a16:creationId xmlns:a16="http://schemas.microsoft.com/office/drawing/2014/main" id="{29CED5A6-BD43-4B01-A589-6EAB8755D2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508000</xdr:colOff>
      <xdr:row>5</xdr:row>
      <xdr:rowOff>63500</xdr:rowOff>
    </xdr:from>
    <xdr:to>
      <xdr:col>15</xdr:col>
      <xdr:colOff>254000</xdr:colOff>
      <xdr:row>20</xdr:row>
      <xdr:rowOff>6350</xdr:rowOff>
    </xdr:to>
    <xdr:graphicFrame macro="">
      <xdr:nvGraphicFramePr>
        <xdr:cNvPr id="10" name="Chart 9">
          <a:extLst>
            <a:ext uri="{FF2B5EF4-FFF2-40B4-BE49-F238E27FC236}">
              <a16:creationId xmlns:a16="http://schemas.microsoft.com/office/drawing/2014/main" id="{924CC759-0940-4EF2-AD9D-08580B4953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28</xdr:row>
      <xdr:rowOff>171450</xdr:rowOff>
    </xdr:from>
    <xdr:to>
      <xdr:col>3</xdr:col>
      <xdr:colOff>0</xdr:colOff>
      <xdr:row>38</xdr:row>
      <xdr:rowOff>146051</xdr:rowOff>
    </xdr:to>
    <mc:AlternateContent xmlns:mc="http://schemas.openxmlformats.org/markup-compatibility/2006" xmlns:a14="http://schemas.microsoft.com/office/drawing/2010/main">
      <mc:Choice Requires="a14">
        <xdr:graphicFrame macro="">
          <xdr:nvGraphicFramePr>
            <xdr:cNvPr id="11" name="India/State/UT 3">
              <a:extLst>
                <a:ext uri="{FF2B5EF4-FFF2-40B4-BE49-F238E27FC236}">
                  <a16:creationId xmlns:a16="http://schemas.microsoft.com/office/drawing/2014/main" id="{ABC3C6CE-1AE7-4E67-AD6D-49E98A681ECC}"/>
                </a:ext>
              </a:extLst>
            </xdr:cNvPr>
            <xdr:cNvGraphicFramePr/>
          </xdr:nvGraphicFramePr>
          <xdr:xfrm>
            <a:off x="0" y="0"/>
            <a:ext cx="0" cy="0"/>
          </xdr:xfrm>
          <a:graphic>
            <a:graphicData uri="http://schemas.microsoft.com/office/drawing/2010/slicer">
              <sle:slicer xmlns:sle="http://schemas.microsoft.com/office/drawing/2010/slicer" name="India/State/UT 3"/>
            </a:graphicData>
          </a:graphic>
        </xdr:graphicFrame>
      </mc:Choice>
      <mc:Fallback xmlns="">
        <xdr:sp macro="" textlink="">
          <xdr:nvSpPr>
            <xdr:cNvPr id="0" name=""/>
            <xdr:cNvSpPr>
              <a:spLocks noTextEdit="1"/>
            </xdr:cNvSpPr>
          </xdr:nvSpPr>
          <xdr:spPr>
            <a:xfrm>
              <a:off x="0" y="5327650"/>
              <a:ext cx="1828800" cy="18161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25</xdr:row>
      <xdr:rowOff>82550</xdr:rowOff>
    </xdr:from>
    <xdr:to>
      <xdr:col>3</xdr:col>
      <xdr:colOff>0</xdr:colOff>
      <xdr:row>28</xdr:row>
      <xdr:rowOff>152400</xdr:rowOff>
    </xdr:to>
    <mc:AlternateContent xmlns:mc="http://schemas.openxmlformats.org/markup-compatibility/2006" xmlns:a14="http://schemas.microsoft.com/office/drawing/2010/main">
      <mc:Choice Requires="a14">
        <xdr:graphicFrame macro="">
          <xdr:nvGraphicFramePr>
            <xdr:cNvPr id="12" name="Overall - Boys - Population - Status 1">
              <a:extLst>
                <a:ext uri="{FF2B5EF4-FFF2-40B4-BE49-F238E27FC236}">
                  <a16:creationId xmlns:a16="http://schemas.microsoft.com/office/drawing/2014/main" id="{EB1FC8DA-E2B3-4BF5-B069-985EE20225F5}"/>
                </a:ext>
              </a:extLst>
            </xdr:cNvPr>
            <xdr:cNvGraphicFramePr/>
          </xdr:nvGraphicFramePr>
          <xdr:xfrm>
            <a:off x="0" y="0"/>
            <a:ext cx="0" cy="0"/>
          </xdr:xfrm>
          <a:graphic>
            <a:graphicData uri="http://schemas.microsoft.com/office/drawing/2010/slicer">
              <sle:slicer xmlns:sle="http://schemas.microsoft.com/office/drawing/2010/slicer" name="Overall - Boys - Population - Status 1"/>
            </a:graphicData>
          </a:graphic>
        </xdr:graphicFrame>
      </mc:Choice>
      <mc:Fallback xmlns="">
        <xdr:sp macro="" textlink="">
          <xdr:nvSpPr>
            <xdr:cNvPr id="0" name=""/>
            <xdr:cNvSpPr>
              <a:spLocks noTextEdit="1"/>
            </xdr:cNvSpPr>
          </xdr:nvSpPr>
          <xdr:spPr>
            <a:xfrm>
              <a:off x="0" y="4686300"/>
              <a:ext cx="1828800" cy="622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8</xdr:row>
      <xdr:rowOff>139700</xdr:rowOff>
    </xdr:from>
    <xdr:to>
      <xdr:col>3</xdr:col>
      <xdr:colOff>0</xdr:colOff>
      <xdr:row>19</xdr:row>
      <xdr:rowOff>177801</xdr:rowOff>
    </xdr:to>
    <mc:AlternateContent xmlns:mc="http://schemas.openxmlformats.org/markup-compatibility/2006" xmlns:a14="http://schemas.microsoft.com/office/drawing/2010/main">
      <mc:Choice Requires="a14">
        <xdr:graphicFrame macro="">
          <xdr:nvGraphicFramePr>
            <xdr:cNvPr id="15" name="India/State/UT 4">
              <a:extLst>
                <a:ext uri="{FF2B5EF4-FFF2-40B4-BE49-F238E27FC236}">
                  <a16:creationId xmlns:a16="http://schemas.microsoft.com/office/drawing/2014/main" id="{E48263C0-A892-4E51-B077-6B041CE3EFE6}"/>
                </a:ext>
              </a:extLst>
            </xdr:cNvPr>
            <xdr:cNvGraphicFramePr/>
          </xdr:nvGraphicFramePr>
          <xdr:xfrm>
            <a:off x="0" y="0"/>
            <a:ext cx="0" cy="0"/>
          </xdr:xfrm>
          <a:graphic>
            <a:graphicData uri="http://schemas.microsoft.com/office/drawing/2010/slicer">
              <sle:slicer xmlns:sle="http://schemas.microsoft.com/office/drawing/2010/slicer" name="India/State/UT 4"/>
            </a:graphicData>
          </a:graphic>
        </xdr:graphicFrame>
      </mc:Choice>
      <mc:Fallback xmlns="">
        <xdr:sp macro="" textlink="">
          <xdr:nvSpPr>
            <xdr:cNvPr id="0" name=""/>
            <xdr:cNvSpPr>
              <a:spLocks noTextEdit="1"/>
            </xdr:cNvSpPr>
          </xdr:nvSpPr>
          <xdr:spPr>
            <a:xfrm>
              <a:off x="0" y="1612900"/>
              <a:ext cx="1828800" cy="20637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31750</xdr:colOff>
      <xdr:row>25</xdr:row>
      <xdr:rowOff>76200</xdr:rowOff>
    </xdr:from>
    <xdr:to>
      <xdr:col>11</xdr:col>
      <xdr:colOff>514350</xdr:colOff>
      <xdr:row>38</xdr:row>
      <xdr:rowOff>152400</xdr:rowOff>
    </xdr:to>
    <xdr:graphicFrame macro="">
      <xdr:nvGraphicFramePr>
        <xdr:cNvPr id="16" name="Chart 15">
          <a:extLst>
            <a:ext uri="{FF2B5EF4-FFF2-40B4-BE49-F238E27FC236}">
              <a16:creationId xmlns:a16="http://schemas.microsoft.com/office/drawing/2014/main" id="{145A5C01-29DB-43D0-B951-22FB406B7B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565150</xdr:colOff>
      <xdr:row>25</xdr:row>
      <xdr:rowOff>82550</xdr:rowOff>
    </xdr:from>
    <xdr:to>
      <xdr:col>19</xdr:col>
      <xdr:colOff>101600</xdr:colOff>
      <xdr:row>38</xdr:row>
      <xdr:rowOff>152400</xdr:rowOff>
    </xdr:to>
    <xdr:graphicFrame macro="">
      <xdr:nvGraphicFramePr>
        <xdr:cNvPr id="17" name="Chart 16">
          <a:extLst>
            <a:ext uri="{FF2B5EF4-FFF2-40B4-BE49-F238E27FC236}">
              <a16:creationId xmlns:a16="http://schemas.microsoft.com/office/drawing/2014/main" id="{C4297837-6C60-4BF6-8396-FE377D6A9F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47</xdr:row>
      <xdr:rowOff>120650</xdr:rowOff>
    </xdr:from>
    <xdr:to>
      <xdr:col>2</xdr:col>
      <xdr:colOff>603250</xdr:colOff>
      <xdr:row>58</xdr:row>
      <xdr:rowOff>88900</xdr:rowOff>
    </xdr:to>
    <mc:AlternateContent xmlns:mc="http://schemas.openxmlformats.org/markup-compatibility/2006" xmlns:a14="http://schemas.microsoft.com/office/drawing/2010/main">
      <mc:Choice Requires="a14">
        <xdr:graphicFrame macro="">
          <xdr:nvGraphicFramePr>
            <xdr:cNvPr id="18" name="India/State/UT 5">
              <a:extLst>
                <a:ext uri="{FF2B5EF4-FFF2-40B4-BE49-F238E27FC236}">
                  <a16:creationId xmlns:a16="http://schemas.microsoft.com/office/drawing/2014/main" id="{204C1FEF-F545-477B-806E-0255C7CE5121}"/>
                </a:ext>
              </a:extLst>
            </xdr:cNvPr>
            <xdr:cNvGraphicFramePr/>
          </xdr:nvGraphicFramePr>
          <xdr:xfrm>
            <a:off x="0" y="0"/>
            <a:ext cx="0" cy="0"/>
          </xdr:xfrm>
          <a:graphic>
            <a:graphicData uri="http://schemas.microsoft.com/office/drawing/2010/slicer">
              <sle:slicer xmlns:sle="http://schemas.microsoft.com/office/drawing/2010/slicer" name="India/State/UT 5"/>
            </a:graphicData>
          </a:graphic>
        </xdr:graphicFrame>
      </mc:Choice>
      <mc:Fallback xmlns="">
        <xdr:sp macro="" textlink="">
          <xdr:nvSpPr>
            <xdr:cNvPr id="0" name=""/>
            <xdr:cNvSpPr>
              <a:spLocks noTextEdit="1"/>
            </xdr:cNvSpPr>
          </xdr:nvSpPr>
          <xdr:spPr>
            <a:xfrm>
              <a:off x="0" y="8775700"/>
              <a:ext cx="1822450" cy="1993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44</xdr:row>
      <xdr:rowOff>44450</xdr:rowOff>
    </xdr:from>
    <xdr:to>
      <xdr:col>3</xdr:col>
      <xdr:colOff>0</xdr:colOff>
      <xdr:row>47</xdr:row>
      <xdr:rowOff>101600</xdr:rowOff>
    </xdr:to>
    <mc:AlternateContent xmlns:mc="http://schemas.openxmlformats.org/markup-compatibility/2006" xmlns:a14="http://schemas.microsoft.com/office/drawing/2010/main">
      <mc:Choice Requires="a14">
        <xdr:graphicFrame macro="">
          <xdr:nvGraphicFramePr>
            <xdr:cNvPr id="19" name="Overall - Girls - Population - Status 1">
              <a:extLst>
                <a:ext uri="{FF2B5EF4-FFF2-40B4-BE49-F238E27FC236}">
                  <a16:creationId xmlns:a16="http://schemas.microsoft.com/office/drawing/2014/main" id="{1116E3EC-164D-48B6-91BF-A7DA32BDCB68}"/>
                </a:ext>
              </a:extLst>
            </xdr:cNvPr>
            <xdr:cNvGraphicFramePr/>
          </xdr:nvGraphicFramePr>
          <xdr:xfrm>
            <a:off x="0" y="0"/>
            <a:ext cx="0" cy="0"/>
          </xdr:xfrm>
          <a:graphic>
            <a:graphicData uri="http://schemas.microsoft.com/office/drawing/2010/slicer">
              <sle:slicer xmlns:sle="http://schemas.microsoft.com/office/drawing/2010/slicer" name="Overall - Girls - Population - Status 1"/>
            </a:graphicData>
          </a:graphic>
        </xdr:graphicFrame>
      </mc:Choice>
      <mc:Fallback xmlns="">
        <xdr:sp macro="" textlink="">
          <xdr:nvSpPr>
            <xdr:cNvPr id="0" name=""/>
            <xdr:cNvSpPr>
              <a:spLocks noTextEdit="1"/>
            </xdr:cNvSpPr>
          </xdr:nvSpPr>
          <xdr:spPr>
            <a:xfrm>
              <a:off x="0" y="8147050"/>
              <a:ext cx="1828800" cy="609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38100</xdr:colOff>
      <xdr:row>44</xdr:row>
      <xdr:rowOff>57150</xdr:rowOff>
    </xdr:from>
    <xdr:to>
      <xdr:col>11</xdr:col>
      <xdr:colOff>63500</xdr:colOff>
      <xdr:row>58</xdr:row>
      <xdr:rowOff>88900</xdr:rowOff>
    </xdr:to>
    <xdr:graphicFrame macro="">
      <xdr:nvGraphicFramePr>
        <xdr:cNvPr id="20" name="Chart 19">
          <a:extLst>
            <a:ext uri="{FF2B5EF4-FFF2-40B4-BE49-F238E27FC236}">
              <a16:creationId xmlns:a16="http://schemas.microsoft.com/office/drawing/2014/main" id="{74C87376-9A3E-471D-B253-089B82F16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120650</xdr:colOff>
      <xdr:row>44</xdr:row>
      <xdr:rowOff>50800</xdr:rowOff>
    </xdr:from>
    <xdr:to>
      <xdr:col>19</xdr:col>
      <xdr:colOff>69850</xdr:colOff>
      <xdr:row>58</xdr:row>
      <xdr:rowOff>95250</xdr:rowOff>
    </xdr:to>
    <xdr:graphicFrame macro="">
      <xdr:nvGraphicFramePr>
        <xdr:cNvPr id="21" name="Chart 20">
          <a:extLst>
            <a:ext uri="{FF2B5EF4-FFF2-40B4-BE49-F238E27FC236}">
              <a16:creationId xmlns:a16="http://schemas.microsoft.com/office/drawing/2014/main" id="{6C32046F-0820-4660-8924-F46F0D2E52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0</xdr:colOff>
      <xdr:row>58</xdr:row>
      <xdr:rowOff>114300</xdr:rowOff>
    </xdr:from>
    <xdr:ext cx="12890500" cy="937629"/>
    <xdr:sp macro="" textlink="">
      <xdr:nvSpPr>
        <xdr:cNvPr id="5" name="Rectangle 4">
          <a:extLst>
            <a:ext uri="{FF2B5EF4-FFF2-40B4-BE49-F238E27FC236}">
              <a16:creationId xmlns:a16="http://schemas.microsoft.com/office/drawing/2014/main" id="{1D0984C4-3D93-45D6-9F79-AD69B766C0EF}"/>
            </a:ext>
          </a:extLst>
        </xdr:cNvPr>
        <xdr:cNvSpPr/>
      </xdr:nvSpPr>
      <xdr:spPr>
        <a:xfrm>
          <a:off x="0" y="10795000"/>
          <a:ext cx="12890500" cy="937629"/>
        </a:xfrm>
        <a:prstGeom prst="rect">
          <a:avLst/>
        </a:prstGeom>
        <a:solidFill>
          <a:srgbClr val="92D050"/>
        </a:solidFill>
      </xdr:spPr>
      <xdr:txBody>
        <a:bodyPr wrap="square" lIns="91440" tIns="45720" rIns="91440" bIns="45720">
          <a:spAutoFit/>
        </a:bodyPr>
        <a:lstStyle/>
        <a:p>
          <a:pPr algn="ctr"/>
          <a:r>
            <a:rPr lang="en-US" sz="5400" b="1" cap="none" spc="0">
              <a:ln w="12700">
                <a:solidFill>
                  <a:schemeClr val="accent1"/>
                </a:solidFill>
                <a:prstDash val="solid"/>
              </a:ln>
              <a:solidFill>
                <a:schemeClr val="accent5">
                  <a:lumMod val="60000"/>
                  <a:lumOff val="40000"/>
                </a:schemeClr>
              </a:solidFill>
              <a:effectLst>
                <a:outerShdw blurRad="50800" dist="38100" algn="l" rotWithShape="0">
                  <a:prstClr val="black">
                    <a:alpha val="40000"/>
                  </a:prstClr>
                </a:outerShdw>
              </a:effectLst>
            </a:rPr>
            <a:t>TOP_5_POPULATED_STATES</a:t>
          </a:r>
        </a:p>
      </xdr:txBody>
    </xdr:sp>
    <xdr:clientData/>
  </xdr:oneCellAnchor>
  <xdr:twoCellAnchor editAs="oneCell">
    <xdr:from>
      <xdr:col>0</xdr:col>
      <xdr:colOff>0</xdr:colOff>
      <xdr:row>63</xdr:row>
      <xdr:rowOff>158750</xdr:rowOff>
    </xdr:from>
    <xdr:to>
      <xdr:col>3</xdr:col>
      <xdr:colOff>0</xdr:colOff>
      <xdr:row>73</xdr:row>
      <xdr:rowOff>25400</xdr:rowOff>
    </xdr:to>
    <mc:AlternateContent xmlns:mc="http://schemas.openxmlformats.org/markup-compatibility/2006" xmlns:a14="http://schemas.microsoft.com/office/drawing/2010/main">
      <mc:Choice Requires="a14">
        <xdr:graphicFrame macro="">
          <xdr:nvGraphicFramePr>
            <xdr:cNvPr id="6" name="State 1">
              <a:extLst>
                <a:ext uri="{FF2B5EF4-FFF2-40B4-BE49-F238E27FC236}">
                  <a16:creationId xmlns:a16="http://schemas.microsoft.com/office/drawing/2014/main" id="{6088E1C5-FCDD-4FBE-A6B3-D7DB03240006}"/>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0" y="11760200"/>
              <a:ext cx="1828800" cy="1708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25400</xdr:colOff>
      <xdr:row>63</xdr:row>
      <xdr:rowOff>158750</xdr:rowOff>
    </xdr:from>
    <xdr:to>
      <xdr:col>8</xdr:col>
      <xdr:colOff>476250</xdr:colOff>
      <xdr:row>73</xdr:row>
      <xdr:rowOff>57150</xdr:rowOff>
    </xdr:to>
    <xdr:graphicFrame macro="">
      <xdr:nvGraphicFramePr>
        <xdr:cNvPr id="7" name="Chart 6">
          <a:extLst>
            <a:ext uri="{FF2B5EF4-FFF2-40B4-BE49-F238E27FC236}">
              <a16:creationId xmlns:a16="http://schemas.microsoft.com/office/drawing/2014/main" id="{3631BD4C-ED92-4625-99F1-654E4A70AD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501650</xdr:colOff>
      <xdr:row>63</xdr:row>
      <xdr:rowOff>165100</xdr:rowOff>
    </xdr:from>
    <xdr:to>
      <xdr:col>13</xdr:col>
      <xdr:colOff>355600</xdr:colOff>
      <xdr:row>73</xdr:row>
      <xdr:rowOff>63500</xdr:rowOff>
    </xdr:to>
    <xdr:graphicFrame macro="">
      <xdr:nvGraphicFramePr>
        <xdr:cNvPr id="13" name="Chart 12">
          <a:extLst>
            <a:ext uri="{FF2B5EF4-FFF2-40B4-BE49-F238E27FC236}">
              <a16:creationId xmlns:a16="http://schemas.microsoft.com/office/drawing/2014/main" id="{A447355E-B316-4B59-A70A-ADDD41678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381000</xdr:colOff>
      <xdr:row>63</xdr:row>
      <xdr:rowOff>158750</xdr:rowOff>
    </xdr:from>
    <xdr:to>
      <xdr:col>19</xdr:col>
      <xdr:colOff>114300</xdr:colOff>
      <xdr:row>73</xdr:row>
      <xdr:rowOff>50800</xdr:rowOff>
    </xdr:to>
    <xdr:graphicFrame macro="">
      <xdr:nvGraphicFramePr>
        <xdr:cNvPr id="14" name="Chart 13">
          <a:extLst>
            <a:ext uri="{FF2B5EF4-FFF2-40B4-BE49-F238E27FC236}">
              <a16:creationId xmlns:a16="http://schemas.microsoft.com/office/drawing/2014/main" id="{155873F8-64DB-4ED2-A646-0ED94FDA43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311150</xdr:colOff>
      <xdr:row>5</xdr:row>
      <xdr:rowOff>76200</xdr:rowOff>
    </xdr:from>
    <xdr:to>
      <xdr:col>19</xdr:col>
      <xdr:colOff>101600</xdr:colOff>
      <xdr:row>19</xdr:row>
      <xdr:rowOff>165100</xdr:rowOff>
    </xdr:to>
    <xdr:sp macro="" textlink="">
      <xdr:nvSpPr>
        <xdr:cNvPr id="22" name="TextBox 21">
          <a:extLst>
            <a:ext uri="{FF2B5EF4-FFF2-40B4-BE49-F238E27FC236}">
              <a16:creationId xmlns:a16="http://schemas.microsoft.com/office/drawing/2014/main" id="{DE62CE0C-90EE-05A1-9752-AFE5A7325886}"/>
            </a:ext>
          </a:extLst>
        </xdr:cNvPr>
        <xdr:cNvSpPr txBox="1"/>
      </xdr:nvSpPr>
      <xdr:spPr>
        <a:xfrm>
          <a:off x="9455150" y="996950"/>
          <a:ext cx="2228850" cy="2667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i="1"/>
            <a:t> 📊 </a:t>
          </a:r>
          <a:r>
            <a:rPr lang="en-IN" sz="1000" b="1" i="1"/>
            <a:t>Dominant Age Group</a:t>
          </a:r>
          <a:r>
            <a:rPr lang="en-IN" sz="1000" i="1"/>
            <a:t>: Children aged </a:t>
          </a:r>
          <a:r>
            <a:rPr lang="en-IN" sz="1000" b="1" i="1"/>
            <a:t>6–13 years</a:t>
          </a:r>
          <a:r>
            <a:rPr lang="en-IN" sz="1000" i="1"/>
            <a:t> make up </a:t>
          </a:r>
          <a:r>
            <a:rPr lang="en-IN" sz="1000" b="1" i="1"/>
            <a:t>over 50%</a:t>
          </a:r>
          <a:r>
            <a:rPr lang="en-IN" sz="1000" i="1"/>
            <a:t> of India’s 3–17-year-old population. 👦👧 </a:t>
          </a:r>
          <a:r>
            <a:rPr lang="en-IN" sz="1000" b="1" i="1"/>
            <a:t>Gender Imbalance</a:t>
          </a:r>
          <a:r>
            <a:rPr lang="en-IN" sz="1000" i="1"/>
            <a:t>: Boys consistently outnumber girls across all age groups and states, with a </a:t>
          </a:r>
          <a:r>
            <a:rPr lang="en-IN" sz="1000" b="1" i="1"/>
            <a:t>national average of ~53% boys</a:t>
          </a:r>
          <a:r>
            <a:rPr lang="en-IN" sz="1000" i="1"/>
            <a:t> and </a:t>
          </a:r>
          <a:r>
            <a:rPr lang="en-IN" sz="1000" b="1" i="1"/>
            <a:t>~47% girls</a:t>
          </a:r>
          <a:r>
            <a:rPr lang="en-IN" sz="1000" i="1"/>
            <a:t>.</a:t>
          </a:r>
        </a:p>
        <a:p>
          <a:r>
            <a:rPr lang="en-IN" sz="1000" i="1"/>
            <a:t>🏞️ </a:t>
          </a:r>
          <a:r>
            <a:rPr lang="en-IN" sz="1000" b="1" i="1"/>
            <a:t>State-Level Concentration</a:t>
          </a:r>
          <a:r>
            <a:rPr lang="en-IN" sz="1000" i="1"/>
            <a:t>: </a:t>
          </a:r>
          <a:r>
            <a:rPr lang="en-IN" sz="1000" b="1" i="1"/>
            <a:t>Uttar Pradesh</a:t>
          </a:r>
          <a:r>
            <a:rPr lang="en-IN" sz="1000" i="1"/>
            <a:t> alone contributes to </a:t>
          </a:r>
          <a:r>
            <a:rPr lang="en-IN" sz="1000" b="1" i="1"/>
            <a:t>over 20%</a:t>
          </a:r>
          <a:r>
            <a:rPr lang="en-IN" sz="1000" i="1"/>
            <a:t> of the country’s 3–17 population.</a:t>
          </a:r>
        </a:p>
        <a:p>
          <a:r>
            <a:rPr lang="en-IN" sz="1000" i="1"/>
            <a:t>🏝️ </a:t>
          </a:r>
          <a:r>
            <a:rPr lang="en-IN" sz="1000" b="1" i="1"/>
            <a:t>Outlier Union Territories</a:t>
          </a:r>
          <a:r>
            <a:rPr lang="en-IN" sz="1000" i="1"/>
            <a:t>: </a:t>
          </a:r>
          <a:r>
            <a:rPr lang="en-IN" sz="1000" b="1" i="1"/>
            <a:t>Lakshadweep</a:t>
          </a:r>
          <a:r>
            <a:rPr lang="en-IN" sz="1000" i="1"/>
            <a:t> and </a:t>
          </a:r>
          <a:r>
            <a:rPr lang="en-IN" sz="1000" b="1" i="1"/>
            <a:t>Ladakh</a:t>
          </a:r>
          <a:r>
            <a:rPr lang="en-IN" sz="1000" i="1"/>
            <a:t> have significantly </a:t>
          </a:r>
          <a:r>
            <a:rPr lang="en-IN" sz="1000" b="1" i="1"/>
            <a:t>lower child populations</a:t>
          </a:r>
          <a:r>
            <a:rPr lang="en-IN" sz="1000" i="1"/>
            <a:t>, making them statistical outliers in </a:t>
          </a:r>
          <a:r>
            <a:rPr lang="en-IN" sz="1000" b="1" i="1"/>
            <a:t>resource planning and allocation</a:t>
          </a:r>
          <a:r>
            <a:rPr lang="en-IN" sz="1000" i="1"/>
            <a:t>.</a:t>
          </a:r>
        </a:p>
        <a:p>
          <a:endParaRPr lang="en-IN" sz="1100"/>
        </a:p>
      </xdr:txBody>
    </xdr:sp>
    <xdr:clientData/>
  </xdr:twoCellAnchor>
  <xdr:twoCellAnchor>
    <xdr:from>
      <xdr:col>15</xdr:col>
      <xdr:colOff>323850</xdr:colOff>
      <xdr:row>18</xdr:row>
      <xdr:rowOff>177800</xdr:rowOff>
    </xdr:from>
    <xdr:to>
      <xdr:col>19</xdr:col>
      <xdr:colOff>95250</xdr:colOff>
      <xdr:row>19</xdr:row>
      <xdr:rowOff>158750</xdr:rowOff>
    </xdr:to>
    <xdr:sp macro="" textlink="">
      <xdr:nvSpPr>
        <xdr:cNvPr id="24" name="TextBox 23">
          <a:extLst>
            <a:ext uri="{FF2B5EF4-FFF2-40B4-BE49-F238E27FC236}">
              <a16:creationId xmlns:a16="http://schemas.microsoft.com/office/drawing/2014/main" id="{86FC29DD-3E84-6059-BA30-DC064FE3D861}"/>
            </a:ext>
          </a:extLst>
        </xdr:cNvPr>
        <xdr:cNvSpPr txBox="1"/>
      </xdr:nvSpPr>
      <xdr:spPr>
        <a:xfrm>
          <a:off x="9467850" y="3492500"/>
          <a:ext cx="2209800" cy="1651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i="1" u="sng">
              <a:solidFill>
                <a:srgbClr val="00B0F0"/>
              </a:solidFill>
            </a:rPr>
            <a:t>Source: Data.Gov.In</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dh" refreshedDate="45960.736543171297" createdVersion="8" refreshedVersion="8" minRefreshableVersion="3" recordCount="37" xr:uid="{BE498903-932B-4AC6-B22B-6C11681C5629}">
  <cacheSource type="worksheet">
    <worksheetSource name="UDISE_2022_23_Table_10_1_04"/>
  </cacheSource>
  <cacheFields count="8">
    <cacheField name="Sl. No." numFmtId="0">
      <sharedItems/>
    </cacheField>
    <cacheField name="India/State/UT" numFmtId="0">
      <sharedItems count="37">
        <s v="India"/>
        <s v="Andaman and Nicobar Islands"/>
        <s v="Andhra Pradesh"/>
        <s v="Arunachal Pradesh"/>
        <s v="Assam"/>
        <s v="Bihar"/>
        <s v="Chandigarh"/>
        <s v="Chhattisgarh"/>
        <s v="Dadra and Nagar Haveli and Daman and Diu"/>
        <s v="Delhi"/>
        <s v="Goa"/>
        <s v="Gujarat"/>
        <s v="Haryana"/>
        <s v="Himachal Pradesh"/>
        <s v="Jammu and Kashmir"/>
        <s v="Jharkhand"/>
        <s v="Karnataka"/>
        <s v="Kerala"/>
        <s v="Ladakh"/>
        <s v="Lakshadweep"/>
        <s v="Madhya Pradesh"/>
        <s v="Maharashtra"/>
        <s v="Manipur"/>
        <s v="Meghalaya"/>
        <s v="Mizoram"/>
        <s v="Nagaland"/>
        <s v="Odisha"/>
        <s v="Puducherry"/>
        <s v="Punjab"/>
        <s v="Rajasthan"/>
        <s v="Sikkim"/>
        <s v="Tamil Nadu"/>
        <s v="Telangana"/>
        <s v="Tripura"/>
        <s v="Uttar Pradesh"/>
        <s v="Uttarakhand"/>
        <s v="West Bengal"/>
      </sharedItems>
    </cacheField>
    <cacheField name="Projected Population by Age Group - Overall - Age 3 to 5 - Total" numFmtId="0">
      <sharedItems containsSemiMixedTypes="0" containsString="0" containsNumber="1" containsInteger="1" minValue="3466" maxValue="85753425" count="37">
        <n v="85753425"/>
        <n v="18298"/>
        <n v="2698000"/>
        <n v="85175"/>
        <n v="2384800"/>
        <n v="10008613"/>
        <n v="57611"/>
        <n v="2001267"/>
        <n v="41671"/>
        <n v="1257950"/>
        <n v="74412"/>
        <n v="4458326"/>
        <n v="1915000"/>
        <n v="340067"/>
        <n v="615933"/>
        <n v="2906200"/>
        <n v="3663000"/>
        <n v="1842600"/>
        <n v="16620"/>
        <n v="3466"/>
        <n v="6144740"/>
        <n v="6149800"/>
        <n v="147234"/>
        <n v="218204"/>
        <n v="63065"/>
        <n v="116194"/>
        <n v="2518333"/>
        <n v="65826"/>
        <n v="1424933"/>
        <n v="6043800"/>
        <n v="25784"/>
        <n v="3716000"/>
        <n v="2039000"/>
        <n v="186946"/>
        <n v="17166757"/>
        <n v="689200"/>
        <n v="4648600"/>
      </sharedItems>
    </cacheField>
    <cacheField name="Projected Population by Age Group - Overall - Age 6 to 13 - Total" numFmtId="0">
      <sharedItems containsSemiMixedTypes="0" containsString="0" containsNumber="1" containsInteger="1" minValue="8745" maxValue="187299628" count="37">
        <n v="187299628"/>
        <n v="46234"/>
        <n v="5798800"/>
        <n v="219578"/>
        <n v="4928200"/>
        <n v="22197555"/>
        <n v="138224"/>
        <n v="4379800"/>
        <n v="88741"/>
        <n v="2628301"/>
        <n v="160186"/>
        <n v="8944730"/>
        <n v="3945800"/>
        <n v="828400"/>
        <n v="1766000"/>
        <n v="5915400"/>
        <n v="7963800"/>
        <n v="3880600"/>
        <n v="34091"/>
        <n v="8745"/>
        <n v="13209718"/>
        <n v="14610400"/>
        <n v="379589"/>
        <n v="482429"/>
        <n v="147066"/>
        <n v="304327"/>
        <n v="5800200"/>
        <n v="145630"/>
        <n v="3348800"/>
        <n v="12386200"/>
        <n v="78450"/>
        <n v="8207400"/>
        <n v="4317600"/>
        <n v="436587"/>
        <n v="36919847"/>
        <n v="1428200"/>
        <n v="11224000"/>
      </sharedItems>
    </cacheField>
    <cacheField name="Projected Population by Age Group - Overall - Age 14 to 15 - Total" numFmtId="0">
      <sharedItems containsSemiMixedTypes="0" containsString="0" containsNumber="1" containsInteger="1" minValue="2311" maxValue="47919989" count="37">
        <n v="47919989"/>
        <n v="12620"/>
        <n v="1514600"/>
        <n v="66159"/>
        <n v="1323000"/>
        <n v="5576563"/>
        <n v="37207"/>
        <n v="1076800"/>
        <n v="20870"/>
        <n v="691886"/>
        <n v="42791"/>
        <n v="2227808"/>
        <n v="990200"/>
        <n v="226200"/>
        <n v="548200"/>
        <n v="1568000"/>
        <n v="2048400"/>
        <n v="1006800"/>
        <n v="9347"/>
        <n v="2311"/>
        <n v="3173087"/>
        <n v="3942000"/>
        <n v="115942"/>
        <n v="133598"/>
        <n v="42099"/>
        <n v="91379"/>
        <n v="1532000"/>
        <n v="39800"/>
        <n v="901200"/>
        <n v="3032200"/>
        <n v="25156"/>
        <n v="2135800"/>
        <n v="1144600"/>
        <n v="131698"/>
        <n v="9020470"/>
        <n v="391600"/>
        <n v="3077600"/>
      </sharedItems>
    </cacheField>
    <cacheField name="Projected Population by Age Group - Overall - Age 16 to 17 - Total" numFmtId="0">
      <sharedItems containsSemiMixedTypes="0" containsString="0" containsNumber="1" containsInteger="1" minValue="2325" maxValue="48887349" count="37">
        <n v="48887349"/>
        <n v="12349"/>
        <n v="1580400"/>
        <n v="62776"/>
        <n v="1342200"/>
        <n v="5572746"/>
        <n v="38749"/>
        <n v="1085600"/>
        <n v="21682"/>
        <n v="727971"/>
        <n v="42623"/>
        <n v="2275055"/>
        <n v="1015200"/>
        <n v="233200"/>
        <n v="558400"/>
        <n v="1586800"/>
        <n v="2088200"/>
        <n v="1014000"/>
        <n v="9258"/>
        <n v="2325"/>
        <n v="3191156"/>
        <n v="4037600"/>
        <n v="113462"/>
        <n v="136610"/>
        <n v="45706"/>
        <n v="94664"/>
        <n v="1565600"/>
        <n v="38836"/>
        <n v="938000"/>
        <n v="3070600"/>
        <n v="27643"/>
        <n v="2178000"/>
        <n v="1193200"/>
        <n v="144553"/>
        <n v="9248386"/>
        <n v="408200"/>
        <n v="3185600"/>
      </sharedItems>
    </cacheField>
    <cacheField name="Overall - Population " numFmtId="0">
      <sharedItems containsSemiMixedTypes="0" containsString="0" containsNumber="1" containsInteger="1" minValue="16847" maxValue="369860391"/>
    </cacheField>
    <cacheField name="Population - Status" numFmtId="0">
      <sharedItems count="2">
        <s v="Above-Average"/>
        <s v="Below-Average"/>
      </sharedItems>
    </cacheField>
  </cacheFields>
  <extLst>
    <ext xmlns:x14="http://schemas.microsoft.com/office/spreadsheetml/2009/9/main" uri="{725AE2AE-9491-48be-B2B4-4EB974FC3084}">
      <x14:pivotCacheDefinition pivotCacheId="67019117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dh" refreshedDate="45960.741338194443" createdVersion="8" refreshedVersion="8" minRefreshableVersion="3" recordCount="37" xr:uid="{FCF6592B-B9BB-46B2-9B65-DB133BA30D48}">
  <cacheSource type="worksheet">
    <worksheetSource name="UDISE_2022_23_Table_10_1_05"/>
  </cacheSource>
  <cacheFields count="8">
    <cacheField name="Sl. No." numFmtId="0">
      <sharedItems/>
    </cacheField>
    <cacheField name="India/State/UT" numFmtId="0">
      <sharedItems count="37">
        <s v="India"/>
        <s v="Andaman and Nicobar Islands"/>
        <s v="Andhra Pradesh"/>
        <s v="Arunachal Pradesh"/>
        <s v="Assam"/>
        <s v="Bihar"/>
        <s v="Chandigarh"/>
        <s v="Chhattisgarh"/>
        <s v="Dadra and Nagar Haveli and Daman and Diu"/>
        <s v="Delhi"/>
        <s v="Goa"/>
        <s v="Gujarat"/>
        <s v="Haryana"/>
        <s v="Himachal Pradesh"/>
        <s v="Jammu and Kashmir"/>
        <s v="Jharkhand"/>
        <s v="Karnataka"/>
        <s v="Kerala"/>
        <s v="Ladakh"/>
        <s v="Lakshadweep"/>
        <s v="Madhya Pradesh"/>
        <s v="Maharashtra"/>
        <s v="Manipur"/>
        <s v="Meghalaya"/>
        <s v="Mizoram"/>
        <s v="Nagaland"/>
        <s v="Odisha"/>
        <s v="Puducherry"/>
        <s v="Punjab"/>
        <s v="Rajasthan"/>
        <s v="Sikkim"/>
        <s v="Tamil Nadu"/>
        <s v="Telangana"/>
        <s v="Tripura"/>
        <s v="Uttar Pradesh"/>
        <s v="Uttarakhand"/>
        <s v="West Bengal"/>
      </sharedItems>
    </cacheField>
    <cacheField name="Projected Population by Age Group - Overall - Age 3 to 5 - Boys" numFmtId="0">
      <sharedItems containsSemiMixedTypes="0" containsString="0" containsNumber="1" containsInteger="1" minValue="1755" maxValue="45529499" count="37">
        <n v="45529499"/>
        <n v="9206"/>
        <n v="1403600"/>
        <n v="43890"/>
        <n v="1241400"/>
        <n v="5422577"/>
        <n v="30138"/>
        <n v="1030200"/>
        <n v="21574"/>
        <n v="676057"/>
        <n v="38037"/>
        <n v="2396321"/>
        <n v="1032800"/>
        <n v="177800"/>
        <n v="318400"/>
        <n v="1513400"/>
        <n v="1905600"/>
        <n v="939800"/>
        <n v="8299"/>
        <n v="1755"/>
        <n v="3304620"/>
        <n v="3279267"/>
        <n v="77158"/>
        <n v="112182"/>
        <n v="32439"/>
        <n v="60663"/>
        <n v="1296600"/>
        <n v="33606"/>
        <n v="757533"/>
        <n v="3218400"/>
        <n v="13422"/>
        <n v="1935800"/>
        <n v="1067800"/>
        <n v="96591"/>
        <n v="9263831"/>
        <n v="370200"/>
        <n v="2398533"/>
      </sharedItems>
    </cacheField>
    <cacheField name="Projected Population by Age Group - Overall - Age 6 to 13 - Boys" numFmtId="0">
      <sharedItems containsSemiMixedTypes="0" containsString="0" containsNumber="1" containsInteger="1" minValue="4353" maxValue="99257381" count="37">
        <n v="99257381"/>
        <n v="23851"/>
        <n v="3011200"/>
        <n v="111973"/>
        <n v="2554000"/>
        <n v="11869975"/>
        <n v="76053"/>
        <n v="2242000"/>
        <n v="47367"/>
        <n v="1438951"/>
        <n v="82835"/>
        <n v="4840859"/>
        <n v="2159600"/>
        <n v="436400"/>
        <n v="933200"/>
        <n v="3069600"/>
        <n v="4139600"/>
        <n v="1982000"/>
        <n v="17534"/>
        <n v="4353"/>
        <n v="7091287"/>
        <n v="7797000"/>
        <n v="197099"/>
        <n v="246876"/>
        <n v="75647"/>
        <n v="159298"/>
        <n v="2984000"/>
        <n v="75003"/>
        <n v="1804600"/>
        <n v="6593800"/>
        <n v="40160"/>
        <n v="4279000"/>
        <n v="2261000"/>
        <n v="225349"/>
        <n v="19859910"/>
        <n v="774400"/>
        <n v="5751600"/>
      </sharedItems>
    </cacheField>
    <cacheField name="Projected Population by Age Group - Overall - Age 14 to 15 - Boys" numFmtId="0">
      <sharedItems containsSemiMixedTypes="0" containsString="0" containsNumber="1" containsInteger="1" minValue="1182" maxValue="25151910" count="37">
        <n v="25151910"/>
        <n v="6660"/>
        <n v="776400"/>
        <n v="33518"/>
        <n v="672800"/>
        <n v="2948313"/>
        <n v="20980"/>
        <n v="547600"/>
        <n v="11671"/>
        <n v="370876"/>
        <n v="22485"/>
        <n v="1190705"/>
        <n v="541200"/>
        <n v="120000"/>
        <n v="293400"/>
        <n v="798200"/>
        <n v="1052800"/>
        <n v="514800"/>
        <n v="4937"/>
        <n v="1182"/>
        <n v="1696947"/>
        <n v="2088200"/>
        <n v="59265"/>
        <n v="67744"/>
        <n v="21542"/>
        <n v="47744"/>
        <n v="784600"/>
        <n v="20990"/>
        <n v="492400"/>
        <n v="1588600"/>
        <n v="12733"/>
        <n v="1099600"/>
        <n v="590800"/>
        <n v="67670"/>
        <n v="4807747"/>
        <n v="208600"/>
        <n v="1568200"/>
      </sharedItems>
    </cacheField>
    <cacheField name="Projected Population by Age Group - Overall - Age 16 to 17 - Boys" numFmtId="0">
      <sharedItems containsSemiMixedTypes="0" containsString="0" containsNumber="1" containsInteger="1" minValue="1150" maxValue="25683007" count="37">
        <n v="25683007"/>
        <n v="6675"/>
        <n v="811400"/>
        <n v="31750"/>
        <n v="684400"/>
        <n v="2954931"/>
        <n v="22647"/>
        <n v="551600"/>
        <n v="13453"/>
        <n v="394493"/>
        <n v="22445"/>
        <n v="1218784"/>
        <n v="554000"/>
        <n v="123400"/>
        <n v="298200"/>
        <n v="807600"/>
        <n v="1075600"/>
        <n v="518000"/>
        <n v="4634"/>
        <n v="1150"/>
        <n v="1710431"/>
        <n v="2139000"/>
        <n v="57197"/>
        <n v="69503"/>
        <n v="23317"/>
        <n v="48490"/>
        <n v="800400"/>
        <n v="20415"/>
        <n v="515000"/>
        <n v="1606200"/>
        <n v="14012"/>
        <n v="1120800"/>
        <n v="614800"/>
        <n v="75516"/>
        <n v="4930965"/>
        <n v="216800"/>
        <n v="1625000"/>
      </sharedItems>
    </cacheField>
    <cacheField name="Overall - Boys - Population" numFmtId="0">
      <sharedItems containsSemiMixedTypes="0" containsString="0" containsNumber="1" containsInteger="1" minValue="16847" maxValue="369860391"/>
    </cacheField>
    <cacheField name="Overall - Boys - Population - Status" numFmtId="0">
      <sharedItems count="2">
        <s v="Above- Average"/>
        <s v="Below - Average"/>
      </sharedItems>
    </cacheField>
  </cacheFields>
  <extLst>
    <ext xmlns:x14="http://schemas.microsoft.com/office/spreadsheetml/2009/9/main" uri="{725AE2AE-9491-48be-B2B4-4EB974FC3084}">
      <x14:pivotCacheDefinition pivotCacheId="16733406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dh" refreshedDate="45960.744443518517" createdVersion="8" refreshedVersion="8" minRefreshableVersion="3" recordCount="37" xr:uid="{79225982-8A9C-4CD1-AE79-CA879F2FBBF0}">
  <cacheSource type="worksheet">
    <worksheetSource name="UDISE_2022_23_Table_10_1_06"/>
  </cacheSource>
  <cacheFields count="8">
    <cacheField name="Sl. No." numFmtId="0">
      <sharedItems/>
    </cacheField>
    <cacheField name="India/State/UT" numFmtId="0">
      <sharedItems count="37">
        <s v="India"/>
        <s v="Andaman and Nicobar Islands"/>
        <s v="Andhra Pradesh"/>
        <s v="Arunachal Pradesh"/>
        <s v="Assam"/>
        <s v="Bihar"/>
        <s v="Chandigarh"/>
        <s v="Chhattisgarh"/>
        <s v="Dadra and Nagar Haveli and Daman and Diu"/>
        <s v="Delhi"/>
        <s v="Goa"/>
        <s v="Gujarat"/>
        <s v="Haryana"/>
        <s v="Himachal Pradesh"/>
        <s v="Jammu and Kashmir"/>
        <s v="Jharkhand"/>
        <s v="Karnataka"/>
        <s v="Kerala"/>
        <s v="Ladakh"/>
        <s v="Lakshadweep"/>
        <s v="Madhya Pradesh"/>
        <s v="Maharashtra"/>
        <s v="Manipur"/>
        <s v="Meghalaya"/>
        <s v="Mizoram"/>
        <s v="Nagaland"/>
        <s v="Odisha"/>
        <s v="Puducherry"/>
        <s v="Punjab"/>
        <s v="Rajasthan"/>
        <s v="Sikkim"/>
        <s v="Tamil Nadu"/>
        <s v="Telangana"/>
        <s v="Tripura"/>
        <s v="Uttar Pradesh"/>
        <s v="Uttarakhand"/>
        <s v="West Bengal"/>
      </sharedItems>
    </cacheField>
    <cacheField name="Projected Population by Age Group - Overall - Age 3 to 5 - Girls" numFmtId="0">
      <sharedItems containsSemiMixedTypes="0" containsString="0" containsNumber="1" containsInteger="1" minValue="1709" maxValue="40227065" count="37">
        <n v="40227065"/>
        <n v="9092"/>
        <n v="1294400"/>
        <n v="41285"/>
        <n v="1143400"/>
        <n v="4588405"/>
        <n v="27503"/>
        <n v="971933"/>
        <n v="20084"/>
        <n v="581959"/>
        <n v="36301"/>
        <n v="2061356"/>
        <n v="881200"/>
        <n v="162067"/>
        <n v="298467"/>
        <n v="1392800"/>
        <n v="1757400"/>
        <n v="902800"/>
        <n v="8331"/>
        <n v="1709"/>
        <n v="2840166"/>
        <n v="2870533"/>
        <n v="70076"/>
        <n v="106021"/>
        <n v="30626"/>
        <n v="55531"/>
        <n v="1221600"/>
        <n v="32196"/>
        <n v="667400"/>
        <n v="2825400"/>
        <n v="12362"/>
        <n v="1780000"/>
        <n v="971400"/>
        <n v="90355"/>
        <n v="7903640"/>
        <n v="319000"/>
        <n v="2250267"/>
      </sharedItems>
    </cacheField>
    <cacheField name="Projected Population by Age Group - Overall - Age 6 to 13 - Girls" numFmtId="0">
      <sharedItems containsSemiMixedTypes="0" containsString="0" containsNumber="1" containsInteger="1" minValue="4386" maxValue="88043082" count="37">
        <n v="88043082"/>
        <n v="22393"/>
        <n v="2787000"/>
        <n v="107605"/>
        <n v="2375000"/>
        <n v="10323912"/>
        <n v="62239"/>
        <n v="2137600"/>
        <n v="41379"/>
        <n v="1191045"/>
        <n v="77202"/>
        <n v="4105672"/>
        <n v="1787200"/>
        <n v="391400"/>
        <n v="832400"/>
        <n v="2845200"/>
        <n v="3826400"/>
        <n v="1898000"/>
        <n v="16575"/>
        <n v="4386"/>
        <n v="6117812"/>
        <n v="6813200"/>
        <n v="182490"/>
        <n v="235553"/>
        <n v="71418"/>
        <n v="145029"/>
        <n v="2816400"/>
        <n v="70594"/>
        <n v="1544400"/>
        <n v="5792200"/>
        <n v="38290"/>
        <n v="3928600"/>
        <n v="2054800"/>
        <n v="211237"/>
        <n v="17061049"/>
        <n v="654600"/>
        <n v="5472800"/>
      </sharedItems>
    </cacheField>
    <cacheField name="Projected Population by Age Group - Overall - Age 14 to 15 - Girls" numFmtId="0">
      <sharedItems containsSemiMixedTypes="0" containsString="0" containsNumber="1" containsInteger="1" minValue="1127" maxValue="22762376" count="37">
        <n v="22762376"/>
        <n v="5966"/>
        <n v="738200"/>
        <n v="32642"/>
        <n v="649400"/>
        <n v="2624743"/>
        <n v="16245"/>
        <n v="529200"/>
        <n v="9212"/>
        <n v="321006"/>
        <n v="20271"/>
        <n v="1037165"/>
        <n v="448600"/>
        <n v="106200"/>
        <n v="254800"/>
        <n v="769800"/>
        <n v="994800"/>
        <n v="492800"/>
        <n v="4414"/>
        <n v="1127"/>
        <n v="1475792"/>
        <n v="1853800"/>
        <n v="56677"/>
        <n v="65854"/>
        <n v="20557"/>
        <n v="43635"/>
        <n v="746600"/>
        <n v="18815"/>
        <n v="409200"/>
        <n v="1443600"/>
        <n v="12423"/>
        <n v="1036200"/>
        <n v="553800"/>
        <n v="64028"/>
        <n v="4212605"/>
        <n v="182800"/>
        <n v="1509400"/>
      </sharedItems>
    </cacheField>
    <cacheField name="Projected Population by Age Group - Overall - Age 16 to 17 - Girls" numFmtId="0">
      <sharedItems containsSemiMixedTypes="0" containsString="0" containsNumber="1" containsInteger="1" minValue="1172" maxValue="23201244" count="37">
        <n v="23201244"/>
        <n v="5682"/>
        <n v="769200"/>
        <n v="31026"/>
        <n v="658600"/>
        <n v="2615601"/>
        <n v="16120"/>
        <n v="534000"/>
        <n v="8273"/>
        <n v="333660"/>
        <n v="20143"/>
        <n v="1056530"/>
        <n v="461400"/>
        <n v="109400"/>
        <n v="260200"/>
        <n v="779000"/>
        <n v="1012000"/>
        <n v="496000"/>
        <n v="4629"/>
        <n v="1172"/>
        <n v="1480437"/>
        <n v="1899400"/>
        <n v="56266"/>
        <n v="67107"/>
        <n v="22390"/>
        <n v="46174"/>
        <n v="764800"/>
        <n v="18424"/>
        <n v="424000"/>
        <n v="1464200"/>
        <n v="13631"/>
        <n v="1058000"/>
        <n v="577400"/>
        <n v="69038"/>
        <n v="4316142"/>
        <n v="190600"/>
        <n v="1560600"/>
      </sharedItems>
    </cacheField>
    <cacheField name="Overall - Girls - Population" numFmtId="0">
      <sharedItems containsSemiMixedTypes="0" containsString="0" containsNumber="1" containsInteger="1" minValue="16847" maxValue="369860391"/>
    </cacheField>
    <cacheField name="Overall - Girls - Population - Status" numFmtId="0">
      <sharedItems count="2">
        <s v="Above - Average"/>
        <s v="Below - Average"/>
      </sharedItems>
    </cacheField>
  </cacheFields>
  <extLst>
    <ext xmlns:x14="http://schemas.microsoft.com/office/spreadsheetml/2009/9/main" uri="{725AE2AE-9491-48be-B2B4-4EB974FC3084}">
      <x14:pivotCacheDefinition pivotCacheId="101905467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dh" refreshedDate="45961.812973032407" createdVersion="8" refreshedVersion="8" minRefreshableVersion="3" recordCount="5" xr:uid="{CA3C4151-AF40-4FEF-B68F-39C9D584453E}">
  <cacheSource type="worksheet">
    <worksheetSource ref="A3:D8" sheet="Top_5_Populated_States"/>
  </cacheSource>
  <cacheFields count="4">
    <cacheField name="State" numFmtId="0">
      <sharedItems count="5">
        <s v="Uttar Pradesh"/>
        <s v="Bihar"/>
        <s v="Maharashtra"/>
        <s v="Madhya Pradesh"/>
        <s v="Rajasthan"/>
      </sharedItems>
    </cacheField>
    <cacheField name="Total (3–17)" numFmtId="3">
      <sharedItems containsSemiMixedTypes="0" containsString="0" containsNumber="1" containsInteger="1" minValue="28028000" maxValue="76063663"/>
    </cacheField>
    <cacheField name="Boys" numFmtId="3">
      <sharedItems containsSemiMixedTypes="0" containsString="0" containsNumber="1" containsInteger="1" minValue="14860200" maxValue="40241453" count="5">
        <n v="40241453"/>
        <n v="16765788"/>
        <n v="17882467"/>
        <n v="16969947"/>
        <n v="14860200"/>
      </sharedItems>
    </cacheField>
    <cacheField name="Girls" numFmtId="3">
      <sharedItems containsSemiMixedTypes="0" containsString="0" containsNumber="1" containsInteger="1" minValue="13167800" maxValue="35822210" count="5">
        <n v="35822210"/>
        <n v="13215940"/>
        <n v="15758333"/>
        <n v="14760164"/>
        <n v="13167800"/>
      </sharedItems>
    </cacheField>
  </cacheFields>
  <extLst>
    <ext xmlns:x14="http://schemas.microsoft.com/office/spreadsheetml/2009/9/main" uri="{725AE2AE-9491-48be-B2B4-4EB974FC3084}">
      <x14:pivotCacheDefinition pivotCacheId="4550335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
  <r>
    <s v="India"/>
    <x v="0"/>
    <x v="0"/>
    <x v="0"/>
    <x v="0"/>
    <x v="0"/>
    <n v="369860391"/>
    <x v="0"/>
  </r>
  <r>
    <s v="1"/>
    <x v="1"/>
    <x v="1"/>
    <x v="1"/>
    <x v="1"/>
    <x v="1"/>
    <n v="89501"/>
    <x v="1"/>
  </r>
  <r>
    <s v="2"/>
    <x v="2"/>
    <x v="2"/>
    <x v="2"/>
    <x v="2"/>
    <x v="2"/>
    <n v="11591800"/>
    <x v="0"/>
  </r>
  <r>
    <s v="3"/>
    <x v="3"/>
    <x v="3"/>
    <x v="3"/>
    <x v="3"/>
    <x v="3"/>
    <n v="433688"/>
    <x v="1"/>
  </r>
  <r>
    <s v="4"/>
    <x v="4"/>
    <x v="4"/>
    <x v="4"/>
    <x v="4"/>
    <x v="4"/>
    <n v="9978200"/>
    <x v="1"/>
  </r>
  <r>
    <s v="5"/>
    <x v="5"/>
    <x v="5"/>
    <x v="5"/>
    <x v="5"/>
    <x v="5"/>
    <n v="43355477"/>
    <x v="0"/>
  </r>
  <r>
    <s v="6"/>
    <x v="6"/>
    <x v="6"/>
    <x v="6"/>
    <x v="6"/>
    <x v="6"/>
    <n v="271791"/>
    <x v="1"/>
  </r>
  <r>
    <s v="7"/>
    <x v="7"/>
    <x v="7"/>
    <x v="7"/>
    <x v="7"/>
    <x v="7"/>
    <n v="8543467"/>
    <x v="1"/>
  </r>
  <r>
    <s v="8"/>
    <x v="8"/>
    <x v="8"/>
    <x v="8"/>
    <x v="8"/>
    <x v="8"/>
    <n v="172964"/>
    <x v="1"/>
  </r>
  <r>
    <s v="9"/>
    <x v="9"/>
    <x v="9"/>
    <x v="9"/>
    <x v="9"/>
    <x v="9"/>
    <n v="5306108"/>
    <x v="1"/>
  </r>
  <r>
    <s v="10"/>
    <x v="10"/>
    <x v="10"/>
    <x v="10"/>
    <x v="10"/>
    <x v="10"/>
    <n v="320012"/>
    <x v="1"/>
  </r>
  <r>
    <s v="11"/>
    <x v="11"/>
    <x v="11"/>
    <x v="11"/>
    <x v="11"/>
    <x v="11"/>
    <n v="17905919"/>
    <x v="0"/>
  </r>
  <r>
    <s v="12"/>
    <x v="12"/>
    <x v="12"/>
    <x v="12"/>
    <x v="12"/>
    <x v="12"/>
    <n v="7866200"/>
    <x v="1"/>
  </r>
  <r>
    <s v="13"/>
    <x v="13"/>
    <x v="13"/>
    <x v="13"/>
    <x v="13"/>
    <x v="13"/>
    <n v="1627867"/>
    <x v="1"/>
  </r>
  <r>
    <s v="14"/>
    <x v="14"/>
    <x v="14"/>
    <x v="14"/>
    <x v="14"/>
    <x v="14"/>
    <n v="3488533"/>
    <x v="1"/>
  </r>
  <r>
    <s v="15"/>
    <x v="15"/>
    <x v="15"/>
    <x v="15"/>
    <x v="15"/>
    <x v="15"/>
    <n v="11976400"/>
    <x v="0"/>
  </r>
  <r>
    <s v="16"/>
    <x v="16"/>
    <x v="16"/>
    <x v="16"/>
    <x v="16"/>
    <x v="16"/>
    <n v="15763400"/>
    <x v="0"/>
  </r>
  <r>
    <s v="17"/>
    <x v="17"/>
    <x v="17"/>
    <x v="17"/>
    <x v="17"/>
    <x v="17"/>
    <n v="7744000"/>
    <x v="1"/>
  </r>
  <r>
    <s v="18"/>
    <x v="18"/>
    <x v="18"/>
    <x v="18"/>
    <x v="18"/>
    <x v="18"/>
    <n v="69316"/>
    <x v="1"/>
  </r>
  <r>
    <s v="19"/>
    <x v="19"/>
    <x v="19"/>
    <x v="19"/>
    <x v="19"/>
    <x v="19"/>
    <n v="16847"/>
    <x v="1"/>
  </r>
  <r>
    <s v="20"/>
    <x v="20"/>
    <x v="20"/>
    <x v="20"/>
    <x v="20"/>
    <x v="20"/>
    <n v="25718701"/>
    <x v="0"/>
  </r>
  <r>
    <s v="21"/>
    <x v="21"/>
    <x v="21"/>
    <x v="21"/>
    <x v="21"/>
    <x v="21"/>
    <n v="28739800"/>
    <x v="0"/>
  </r>
  <r>
    <s v="22"/>
    <x v="22"/>
    <x v="22"/>
    <x v="22"/>
    <x v="22"/>
    <x v="22"/>
    <n v="756227"/>
    <x v="1"/>
  </r>
  <r>
    <s v="23"/>
    <x v="23"/>
    <x v="23"/>
    <x v="23"/>
    <x v="23"/>
    <x v="23"/>
    <n v="970841"/>
    <x v="1"/>
  </r>
  <r>
    <s v="24"/>
    <x v="24"/>
    <x v="24"/>
    <x v="24"/>
    <x v="24"/>
    <x v="24"/>
    <n v="297936"/>
    <x v="1"/>
  </r>
  <r>
    <s v="25"/>
    <x v="25"/>
    <x v="25"/>
    <x v="25"/>
    <x v="25"/>
    <x v="25"/>
    <n v="606564"/>
    <x v="1"/>
  </r>
  <r>
    <s v="26"/>
    <x v="26"/>
    <x v="26"/>
    <x v="26"/>
    <x v="26"/>
    <x v="26"/>
    <n v="11416133"/>
    <x v="0"/>
  </r>
  <r>
    <s v="27"/>
    <x v="27"/>
    <x v="27"/>
    <x v="27"/>
    <x v="27"/>
    <x v="27"/>
    <n v="290092"/>
    <x v="1"/>
  </r>
  <r>
    <s v="28"/>
    <x v="28"/>
    <x v="28"/>
    <x v="28"/>
    <x v="28"/>
    <x v="28"/>
    <n v="6612933"/>
    <x v="1"/>
  </r>
  <r>
    <s v="29"/>
    <x v="29"/>
    <x v="29"/>
    <x v="29"/>
    <x v="29"/>
    <x v="29"/>
    <n v="24532800"/>
    <x v="0"/>
  </r>
  <r>
    <s v="30"/>
    <x v="30"/>
    <x v="30"/>
    <x v="30"/>
    <x v="30"/>
    <x v="30"/>
    <n v="157033"/>
    <x v="1"/>
  </r>
  <r>
    <s v="31"/>
    <x v="31"/>
    <x v="31"/>
    <x v="31"/>
    <x v="31"/>
    <x v="31"/>
    <n v="16237200"/>
    <x v="0"/>
  </r>
  <r>
    <s v="32"/>
    <x v="32"/>
    <x v="32"/>
    <x v="32"/>
    <x v="32"/>
    <x v="32"/>
    <n v="8694400"/>
    <x v="1"/>
  </r>
  <r>
    <s v="33"/>
    <x v="33"/>
    <x v="33"/>
    <x v="33"/>
    <x v="33"/>
    <x v="33"/>
    <n v="899784"/>
    <x v="1"/>
  </r>
  <r>
    <s v="34"/>
    <x v="34"/>
    <x v="34"/>
    <x v="34"/>
    <x v="34"/>
    <x v="34"/>
    <n v="72355460"/>
    <x v="0"/>
  </r>
  <r>
    <s v="35"/>
    <x v="35"/>
    <x v="35"/>
    <x v="35"/>
    <x v="35"/>
    <x v="35"/>
    <n v="2917200"/>
    <x v="1"/>
  </r>
  <r>
    <s v="36"/>
    <x v="36"/>
    <x v="36"/>
    <x v="36"/>
    <x v="36"/>
    <x v="36"/>
    <n v="2213580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
  <r>
    <s v="India"/>
    <x v="0"/>
    <x v="0"/>
    <x v="0"/>
    <x v="0"/>
    <x v="0"/>
    <n v="369860391"/>
    <x v="0"/>
  </r>
  <r>
    <s v="1"/>
    <x v="1"/>
    <x v="1"/>
    <x v="1"/>
    <x v="1"/>
    <x v="1"/>
    <n v="89501"/>
    <x v="1"/>
  </r>
  <r>
    <s v="2"/>
    <x v="2"/>
    <x v="2"/>
    <x v="2"/>
    <x v="2"/>
    <x v="2"/>
    <n v="11591800"/>
    <x v="0"/>
  </r>
  <r>
    <s v="3"/>
    <x v="3"/>
    <x v="3"/>
    <x v="3"/>
    <x v="3"/>
    <x v="3"/>
    <n v="433688"/>
    <x v="1"/>
  </r>
  <r>
    <s v="4"/>
    <x v="4"/>
    <x v="4"/>
    <x v="4"/>
    <x v="4"/>
    <x v="4"/>
    <n v="9978200"/>
    <x v="1"/>
  </r>
  <r>
    <s v="5"/>
    <x v="5"/>
    <x v="5"/>
    <x v="5"/>
    <x v="5"/>
    <x v="5"/>
    <n v="43355477"/>
    <x v="0"/>
  </r>
  <r>
    <s v="6"/>
    <x v="6"/>
    <x v="6"/>
    <x v="6"/>
    <x v="6"/>
    <x v="6"/>
    <n v="271791"/>
    <x v="1"/>
  </r>
  <r>
    <s v="7"/>
    <x v="7"/>
    <x v="7"/>
    <x v="7"/>
    <x v="7"/>
    <x v="7"/>
    <n v="8543467"/>
    <x v="1"/>
  </r>
  <r>
    <s v="8"/>
    <x v="8"/>
    <x v="8"/>
    <x v="8"/>
    <x v="8"/>
    <x v="8"/>
    <n v="172964"/>
    <x v="1"/>
  </r>
  <r>
    <s v="9"/>
    <x v="9"/>
    <x v="9"/>
    <x v="9"/>
    <x v="9"/>
    <x v="9"/>
    <n v="5306108"/>
    <x v="1"/>
  </r>
  <r>
    <s v="10"/>
    <x v="10"/>
    <x v="10"/>
    <x v="10"/>
    <x v="10"/>
    <x v="10"/>
    <n v="320012"/>
    <x v="1"/>
  </r>
  <r>
    <s v="11"/>
    <x v="11"/>
    <x v="11"/>
    <x v="11"/>
    <x v="11"/>
    <x v="11"/>
    <n v="17905919"/>
    <x v="0"/>
  </r>
  <r>
    <s v="12"/>
    <x v="12"/>
    <x v="12"/>
    <x v="12"/>
    <x v="12"/>
    <x v="12"/>
    <n v="7866200"/>
    <x v="1"/>
  </r>
  <r>
    <s v="13"/>
    <x v="13"/>
    <x v="13"/>
    <x v="13"/>
    <x v="13"/>
    <x v="13"/>
    <n v="1627867"/>
    <x v="1"/>
  </r>
  <r>
    <s v="14"/>
    <x v="14"/>
    <x v="14"/>
    <x v="14"/>
    <x v="14"/>
    <x v="14"/>
    <n v="3488533"/>
    <x v="1"/>
  </r>
  <r>
    <s v="15"/>
    <x v="15"/>
    <x v="15"/>
    <x v="15"/>
    <x v="15"/>
    <x v="15"/>
    <n v="11976400"/>
    <x v="0"/>
  </r>
  <r>
    <s v="16"/>
    <x v="16"/>
    <x v="16"/>
    <x v="16"/>
    <x v="16"/>
    <x v="16"/>
    <n v="15763400"/>
    <x v="0"/>
  </r>
  <r>
    <s v="17"/>
    <x v="17"/>
    <x v="17"/>
    <x v="17"/>
    <x v="17"/>
    <x v="17"/>
    <n v="7744000"/>
    <x v="1"/>
  </r>
  <r>
    <s v="18"/>
    <x v="18"/>
    <x v="18"/>
    <x v="18"/>
    <x v="18"/>
    <x v="18"/>
    <n v="69316"/>
    <x v="1"/>
  </r>
  <r>
    <s v="19"/>
    <x v="19"/>
    <x v="19"/>
    <x v="19"/>
    <x v="19"/>
    <x v="19"/>
    <n v="16847"/>
    <x v="1"/>
  </r>
  <r>
    <s v="20"/>
    <x v="20"/>
    <x v="20"/>
    <x v="20"/>
    <x v="20"/>
    <x v="20"/>
    <n v="25718701"/>
    <x v="0"/>
  </r>
  <r>
    <s v="21"/>
    <x v="21"/>
    <x v="21"/>
    <x v="21"/>
    <x v="21"/>
    <x v="21"/>
    <n v="28739800"/>
    <x v="0"/>
  </r>
  <r>
    <s v="22"/>
    <x v="22"/>
    <x v="22"/>
    <x v="22"/>
    <x v="22"/>
    <x v="22"/>
    <n v="756227"/>
    <x v="1"/>
  </r>
  <r>
    <s v="23"/>
    <x v="23"/>
    <x v="23"/>
    <x v="23"/>
    <x v="23"/>
    <x v="23"/>
    <n v="970841"/>
    <x v="1"/>
  </r>
  <r>
    <s v="24"/>
    <x v="24"/>
    <x v="24"/>
    <x v="24"/>
    <x v="24"/>
    <x v="24"/>
    <n v="297936"/>
    <x v="1"/>
  </r>
  <r>
    <s v="25"/>
    <x v="25"/>
    <x v="25"/>
    <x v="25"/>
    <x v="25"/>
    <x v="25"/>
    <n v="606564"/>
    <x v="1"/>
  </r>
  <r>
    <s v="26"/>
    <x v="26"/>
    <x v="26"/>
    <x v="26"/>
    <x v="26"/>
    <x v="26"/>
    <n v="11416133"/>
    <x v="0"/>
  </r>
  <r>
    <s v="27"/>
    <x v="27"/>
    <x v="27"/>
    <x v="27"/>
    <x v="27"/>
    <x v="27"/>
    <n v="290092"/>
    <x v="1"/>
  </r>
  <r>
    <s v="28"/>
    <x v="28"/>
    <x v="28"/>
    <x v="28"/>
    <x v="28"/>
    <x v="28"/>
    <n v="6612933"/>
    <x v="1"/>
  </r>
  <r>
    <s v="29"/>
    <x v="29"/>
    <x v="29"/>
    <x v="29"/>
    <x v="29"/>
    <x v="29"/>
    <n v="24532800"/>
    <x v="0"/>
  </r>
  <r>
    <s v="30"/>
    <x v="30"/>
    <x v="30"/>
    <x v="30"/>
    <x v="30"/>
    <x v="30"/>
    <n v="157033"/>
    <x v="1"/>
  </r>
  <r>
    <s v="31"/>
    <x v="31"/>
    <x v="31"/>
    <x v="31"/>
    <x v="31"/>
    <x v="31"/>
    <n v="16237200"/>
    <x v="0"/>
  </r>
  <r>
    <s v="32"/>
    <x v="32"/>
    <x v="32"/>
    <x v="32"/>
    <x v="32"/>
    <x v="32"/>
    <n v="8694400"/>
    <x v="1"/>
  </r>
  <r>
    <s v="33"/>
    <x v="33"/>
    <x v="33"/>
    <x v="33"/>
    <x v="33"/>
    <x v="33"/>
    <n v="899784"/>
    <x v="1"/>
  </r>
  <r>
    <s v="34"/>
    <x v="34"/>
    <x v="34"/>
    <x v="34"/>
    <x v="34"/>
    <x v="34"/>
    <n v="72355460"/>
    <x v="0"/>
  </r>
  <r>
    <s v="35"/>
    <x v="35"/>
    <x v="35"/>
    <x v="35"/>
    <x v="35"/>
    <x v="35"/>
    <n v="2917200"/>
    <x v="1"/>
  </r>
  <r>
    <s v="36"/>
    <x v="36"/>
    <x v="36"/>
    <x v="36"/>
    <x v="36"/>
    <x v="36"/>
    <n v="22135800"/>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
  <r>
    <s v="India"/>
    <x v="0"/>
    <x v="0"/>
    <x v="0"/>
    <x v="0"/>
    <x v="0"/>
    <n v="369860391"/>
    <x v="0"/>
  </r>
  <r>
    <s v="1"/>
    <x v="1"/>
    <x v="1"/>
    <x v="1"/>
    <x v="1"/>
    <x v="1"/>
    <n v="89501"/>
    <x v="1"/>
  </r>
  <r>
    <s v="2"/>
    <x v="2"/>
    <x v="2"/>
    <x v="2"/>
    <x v="2"/>
    <x v="2"/>
    <n v="11591800"/>
    <x v="0"/>
  </r>
  <r>
    <s v="3"/>
    <x v="3"/>
    <x v="3"/>
    <x v="3"/>
    <x v="3"/>
    <x v="3"/>
    <n v="433688"/>
    <x v="1"/>
  </r>
  <r>
    <s v="4"/>
    <x v="4"/>
    <x v="4"/>
    <x v="4"/>
    <x v="4"/>
    <x v="4"/>
    <n v="9978200"/>
    <x v="1"/>
  </r>
  <r>
    <s v="5"/>
    <x v="5"/>
    <x v="5"/>
    <x v="5"/>
    <x v="5"/>
    <x v="5"/>
    <n v="43355477"/>
    <x v="0"/>
  </r>
  <r>
    <s v="6"/>
    <x v="6"/>
    <x v="6"/>
    <x v="6"/>
    <x v="6"/>
    <x v="6"/>
    <n v="271791"/>
    <x v="1"/>
  </r>
  <r>
    <s v="7"/>
    <x v="7"/>
    <x v="7"/>
    <x v="7"/>
    <x v="7"/>
    <x v="7"/>
    <n v="8543467"/>
    <x v="1"/>
  </r>
  <r>
    <s v="8"/>
    <x v="8"/>
    <x v="8"/>
    <x v="8"/>
    <x v="8"/>
    <x v="8"/>
    <n v="172964"/>
    <x v="1"/>
  </r>
  <r>
    <s v="9"/>
    <x v="9"/>
    <x v="9"/>
    <x v="9"/>
    <x v="9"/>
    <x v="9"/>
    <n v="5306108"/>
    <x v="1"/>
  </r>
  <r>
    <s v="10"/>
    <x v="10"/>
    <x v="10"/>
    <x v="10"/>
    <x v="10"/>
    <x v="10"/>
    <n v="320012"/>
    <x v="1"/>
  </r>
  <r>
    <s v="11"/>
    <x v="11"/>
    <x v="11"/>
    <x v="11"/>
    <x v="11"/>
    <x v="11"/>
    <n v="17905919"/>
    <x v="0"/>
  </r>
  <r>
    <s v="12"/>
    <x v="12"/>
    <x v="12"/>
    <x v="12"/>
    <x v="12"/>
    <x v="12"/>
    <n v="7866200"/>
    <x v="1"/>
  </r>
  <r>
    <s v="13"/>
    <x v="13"/>
    <x v="13"/>
    <x v="13"/>
    <x v="13"/>
    <x v="13"/>
    <n v="1627867"/>
    <x v="1"/>
  </r>
  <r>
    <s v="14"/>
    <x v="14"/>
    <x v="14"/>
    <x v="14"/>
    <x v="14"/>
    <x v="14"/>
    <n v="3488533"/>
    <x v="1"/>
  </r>
  <r>
    <s v="15"/>
    <x v="15"/>
    <x v="15"/>
    <x v="15"/>
    <x v="15"/>
    <x v="15"/>
    <n v="11976400"/>
    <x v="0"/>
  </r>
  <r>
    <s v="16"/>
    <x v="16"/>
    <x v="16"/>
    <x v="16"/>
    <x v="16"/>
    <x v="16"/>
    <n v="15763400"/>
    <x v="0"/>
  </r>
  <r>
    <s v="17"/>
    <x v="17"/>
    <x v="17"/>
    <x v="17"/>
    <x v="17"/>
    <x v="17"/>
    <n v="7744000"/>
    <x v="1"/>
  </r>
  <r>
    <s v="18"/>
    <x v="18"/>
    <x v="18"/>
    <x v="18"/>
    <x v="18"/>
    <x v="18"/>
    <n v="69316"/>
    <x v="1"/>
  </r>
  <r>
    <s v="19"/>
    <x v="19"/>
    <x v="19"/>
    <x v="19"/>
    <x v="19"/>
    <x v="19"/>
    <n v="16847"/>
    <x v="1"/>
  </r>
  <r>
    <s v="20"/>
    <x v="20"/>
    <x v="20"/>
    <x v="20"/>
    <x v="20"/>
    <x v="20"/>
    <n v="25718701"/>
    <x v="0"/>
  </r>
  <r>
    <s v="21"/>
    <x v="21"/>
    <x v="21"/>
    <x v="21"/>
    <x v="21"/>
    <x v="21"/>
    <n v="28739800"/>
    <x v="0"/>
  </r>
  <r>
    <s v="22"/>
    <x v="22"/>
    <x v="22"/>
    <x v="22"/>
    <x v="22"/>
    <x v="22"/>
    <n v="756227"/>
    <x v="1"/>
  </r>
  <r>
    <s v="23"/>
    <x v="23"/>
    <x v="23"/>
    <x v="23"/>
    <x v="23"/>
    <x v="23"/>
    <n v="970841"/>
    <x v="1"/>
  </r>
  <r>
    <s v="24"/>
    <x v="24"/>
    <x v="24"/>
    <x v="24"/>
    <x v="24"/>
    <x v="24"/>
    <n v="297936"/>
    <x v="1"/>
  </r>
  <r>
    <s v="25"/>
    <x v="25"/>
    <x v="25"/>
    <x v="25"/>
    <x v="25"/>
    <x v="25"/>
    <n v="606564"/>
    <x v="1"/>
  </r>
  <r>
    <s v="26"/>
    <x v="26"/>
    <x v="26"/>
    <x v="26"/>
    <x v="26"/>
    <x v="26"/>
    <n v="11416133"/>
    <x v="0"/>
  </r>
  <r>
    <s v="27"/>
    <x v="27"/>
    <x v="27"/>
    <x v="27"/>
    <x v="27"/>
    <x v="27"/>
    <n v="290092"/>
    <x v="1"/>
  </r>
  <r>
    <s v="28"/>
    <x v="28"/>
    <x v="28"/>
    <x v="28"/>
    <x v="28"/>
    <x v="28"/>
    <n v="6612933"/>
    <x v="1"/>
  </r>
  <r>
    <s v="29"/>
    <x v="29"/>
    <x v="29"/>
    <x v="29"/>
    <x v="29"/>
    <x v="29"/>
    <n v="24532800"/>
    <x v="0"/>
  </r>
  <r>
    <s v="30"/>
    <x v="30"/>
    <x v="30"/>
    <x v="30"/>
    <x v="30"/>
    <x v="30"/>
    <n v="157033"/>
    <x v="1"/>
  </r>
  <r>
    <s v="31"/>
    <x v="31"/>
    <x v="31"/>
    <x v="31"/>
    <x v="31"/>
    <x v="31"/>
    <n v="16237200"/>
    <x v="0"/>
  </r>
  <r>
    <s v="32"/>
    <x v="32"/>
    <x v="32"/>
    <x v="32"/>
    <x v="32"/>
    <x v="32"/>
    <n v="8694400"/>
    <x v="1"/>
  </r>
  <r>
    <s v="33"/>
    <x v="33"/>
    <x v="33"/>
    <x v="33"/>
    <x v="33"/>
    <x v="33"/>
    <n v="899784"/>
    <x v="1"/>
  </r>
  <r>
    <s v="34"/>
    <x v="34"/>
    <x v="34"/>
    <x v="34"/>
    <x v="34"/>
    <x v="34"/>
    <n v="72355460"/>
    <x v="0"/>
  </r>
  <r>
    <s v="35"/>
    <x v="35"/>
    <x v="35"/>
    <x v="35"/>
    <x v="35"/>
    <x v="35"/>
    <n v="2917200"/>
    <x v="1"/>
  </r>
  <r>
    <s v="36"/>
    <x v="36"/>
    <x v="36"/>
    <x v="36"/>
    <x v="36"/>
    <x v="36"/>
    <n v="22135800"/>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76063663"/>
    <x v="0"/>
    <x v="0"/>
  </r>
  <r>
    <x v="1"/>
    <n v="29981728"/>
    <x v="1"/>
    <x v="1"/>
  </r>
  <r>
    <x v="2"/>
    <n v="33640800"/>
    <x v="2"/>
    <x v="2"/>
  </r>
  <r>
    <x v="3"/>
    <n v="31730111"/>
    <x v="3"/>
    <x v="3"/>
  </r>
  <r>
    <x v="4"/>
    <n v="28028000"/>
    <x v="4"/>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77193E-EEA2-439A-BBAF-BA3F2931173F}" name="PivotTable1" cacheId="0" applyNumberFormats="0" applyBorderFormats="0" applyFontFormats="0" applyPatternFormats="0" applyAlignmentFormats="0" applyWidthHeightFormats="1" dataCaption="Values" updatedVersion="8" minRefreshableVersion="3" showDrill="0" useAutoFormatting="1" itemPrintTitles="1" createdVersion="8" indent="0" outline="1" outlineData="1" multipleFieldFilters="0" chartFormat="34">
  <location ref="A3:B41" firstHeaderRow="1" firstDataRow="1" firstDataCol="1" rowPageCount="1" colPageCount="1"/>
  <pivotFields count="8">
    <pivotField showAll="0"/>
    <pivotField axis="axisRow" showAll="0">
      <items count="38">
        <item x="1"/>
        <item x="2"/>
        <item x="3"/>
        <item x="4"/>
        <item x="5"/>
        <item x="6"/>
        <item x="7"/>
        <item x="8"/>
        <item x="9"/>
        <item x="10"/>
        <item x="11"/>
        <item x="12"/>
        <item x="13"/>
        <item x="0"/>
        <item x="14"/>
        <item x="15"/>
        <item x="16"/>
        <item x="17"/>
        <item x="18"/>
        <item x="19"/>
        <item x="20"/>
        <item x="21"/>
        <item x="22"/>
        <item x="23"/>
        <item x="24"/>
        <item x="25"/>
        <item x="26"/>
        <item x="27"/>
        <item x="28"/>
        <item x="29"/>
        <item x="30"/>
        <item x="31"/>
        <item x="32"/>
        <item x="33"/>
        <item x="34"/>
        <item x="35"/>
        <item x="36"/>
        <item t="default"/>
      </items>
    </pivotField>
    <pivotField showAll="0">
      <items count="38">
        <item x="19"/>
        <item x="18"/>
        <item x="1"/>
        <item x="30"/>
        <item x="8"/>
        <item x="6"/>
        <item x="24"/>
        <item x="27"/>
        <item x="10"/>
        <item x="3"/>
        <item x="25"/>
        <item x="22"/>
        <item x="33"/>
        <item x="23"/>
        <item x="13"/>
        <item x="14"/>
        <item x="35"/>
        <item x="9"/>
        <item x="28"/>
        <item x="17"/>
        <item x="12"/>
        <item x="7"/>
        <item x="32"/>
        <item x="4"/>
        <item x="26"/>
        <item x="2"/>
        <item x="15"/>
        <item x="16"/>
        <item x="31"/>
        <item x="11"/>
        <item x="36"/>
        <item x="29"/>
        <item x="20"/>
        <item x="21"/>
        <item x="5"/>
        <item x="34"/>
        <item x="0"/>
        <item t="default"/>
      </items>
    </pivotField>
    <pivotField showAll="0">
      <items count="38">
        <item x="19"/>
        <item x="18"/>
        <item x="1"/>
        <item x="30"/>
        <item x="8"/>
        <item x="6"/>
        <item x="27"/>
        <item x="24"/>
        <item x="10"/>
        <item x="3"/>
        <item x="25"/>
        <item x="22"/>
        <item x="33"/>
        <item x="23"/>
        <item x="13"/>
        <item x="35"/>
        <item x="14"/>
        <item x="9"/>
        <item x="28"/>
        <item x="17"/>
        <item x="12"/>
        <item x="32"/>
        <item x="7"/>
        <item x="4"/>
        <item x="2"/>
        <item x="26"/>
        <item x="15"/>
        <item x="16"/>
        <item x="31"/>
        <item x="11"/>
        <item x="36"/>
        <item x="29"/>
        <item x="20"/>
        <item x="21"/>
        <item x="5"/>
        <item x="34"/>
        <item x="0"/>
        <item t="default"/>
      </items>
    </pivotField>
    <pivotField showAll="0">
      <items count="38">
        <item x="19"/>
        <item x="18"/>
        <item x="1"/>
        <item x="8"/>
        <item x="30"/>
        <item x="6"/>
        <item x="27"/>
        <item x="24"/>
        <item x="10"/>
        <item x="3"/>
        <item x="25"/>
        <item x="22"/>
        <item x="33"/>
        <item x="23"/>
        <item x="13"/>
        <item x="35"/>
        <item x="14"/>
        <item x="9"/>
        <item x="28"/>
        <item x="12"/>
        <item x="17"/>
        <item x="7"/>
        <item x="32"/>
        <item x="4"/>
        <item x="2"/>
        <item x="26"/>
        <item x="15"/>
        <item x="16"/>
        <item x="31"/>
        <item x="11"/>
        <item x="29"/>
        <item x="36"/>
        <item x="20"/>
        <item x="21"/>
        <item x="5"/>
        <item x="34"/>
        <item x="0"/>
        <item t="default"/>
      </items>
    </pivotField>
    <pivotField showAll="0">
      <items count="38">
        <item x="19"/>
        <item x="18"/>
        <item x="1"/>
        <item x="8"/>
        <item x="30"/>
        <item x="6"/>
        <item x="27"/>
        <item x="10"/>
        <item x="24"/>
        <item x="3"/>
        <item x="25"/>
        <item x="22"/>
        <item x="23"/>
        <item x="33"/>
        <item x="13"/>
        <item x="35"/>
        <item x="14"/>
        <item x="9"/>
        <item x="28"/>
        <item x="17"/>
        <item x="12"/>
        <item x="7"/>
        <item x="32"/>
        <item x="4"/>
        <item x="26"/>
        <item x="2"/>
        <item x="15"/>
        <item x="16"/>
        <item x="31"/>
        <item x="11"/>
        <item x="29"/>
        <item x="36"/>
        <item x="20"/>
        <item x="21"/>
        <item x="5"/>
        <item x="34"/>
        <item x="0"/>
        <item t="default"/>
      </items>
    </pivotField>
    <pivotField dataField="1" showAll="0"/>
    <pivotField axis="axisPage" showAll="0">
      <items count="3">
        <item x="0"/>
        <item x="1"/>
        <item t="default"/>
      </items>
    </pivotField>
  </pivotFields>
  <rowFields count="1">
    <field x="1"/>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t="grand">
      <x/>
    </i>
  </rowItems>
  <colItems count="1">
    <i/>
  </colItems>
  <pageFields count="1">
    <pageField fld="7" hier="-1"/>
  </pageFields>
  <dataFields count="1">
    <dataField name="Sum of Overall - Population " fld="6" baseField="0" baseItem="0"/>
  </dataFields>
  <chartFormats count="78">
    <chartFormat chart="25" format="296" series="1">
      <pivotArea type="data" outline="0" fieldPosition="0">
        <references count="1">
          <reference field="4294967294" count="1" selected="0">
            <x v="0"/>
          </reference>
        </references>
      </pivotArea>
    </chartFormat>
    <chartFormat chart="29" format="39" series="1">
      <pivotArea type="data" outline="0" fieldPosition="0">
        <references count="1">
          <reference field="4294967294" count="1" selected="0">
            <x v="0"/>
          </reference>
        </references>
      </pivotArea>
    </chartFormat>
    <chartFormat chart="29" format="40">
      <pivotArea type="data" outline="0" fieldPosition="0">
        <references count="2">
          <reference field="4294967294" count="1" selected="0">
            <x v="0"/>
          </reference>
          <reference field="1" count="1" selected="0">
            <x v="0"/>
          </reference>
        </references>
      </pivotArea>
    </chartFormat>
    <chartFormat chart="29" format="41">
      <pivotArea type="data" outline="0" fieldPosition="0">
        <references count="2">
          <reference field="4294967294" count="1" selected="0">
            <x v="0"/>
          </reference>
          <reference field="1" count="1" selected="0">
            <x v="1"/>
          </reference>
        </references>
      </pivotArea>
    </chartFormat>
    <chartFormat chart="29" format="42">
      <pivotArea type="data" outline="0" fieldPosition="0">
        <references count="2">
          <reference field="4294967294" count="1" selected="0">
            <x v="0"/>
          </reference>
          <reference field="1" count="1" selected="0">
            <x v="2"/>
          </reference>
        </references>
      </pivotArea>
    </chartFormat>
    <chartFormat chart="29" format="43">
      <pivotArea type="data" outline="0" fieldPosition="0">
        <references count="2">
          <reference field="4294967294" count="1" selected="0">
            <x v="0"/>
          </reference>
          <reference field="1" count="1" selected="0">
            <x v="3"/>
          </reference>
        </references>
      </pivotArea>
    </chartFormat>
    <chartFormat chart="29" format="44">
      <pivotArea type="data" outline="0" fieldPosition="0">
        <references count="2">
          <reference field="4294967294" count="1" selected="0">
            <x v="0"/>
          </reference>
          <reference field="1" count="1" selected="0">
            <x v="4"/>
          </reference>
        </references>
      </pivotArea>
    </chartFormat>
    <chartFormat chart="29" format="45">
      <pivotArea type="data" outline="0" fieldPosition="0">
        <references count="2">
          <reference field="4294967294" count="1" selected="0">
            <x v="0"/>
          </reference>
          <reference field="1" count="1" selected="0">
            <x v="5"/>
          </reference>
        </references>
      </pivotArea>
    </chartFormat>
    <chartFormat chart="29" format="46">
      <pivotArea type="data" outline="0" fieldPosition="0">
        <references count="2">
          <reference field="4294967294" count="1" selected="0">
            <x v="0"/>
          </reference>
          <reference field="1" count="1" selected="0">
            <x v="6"/>
          </reference>
        </references>
      </pivotArea>
    </chartFormat>
    <chartFormat chart="29" format="47">
      <pivotArea type="data" outline="0" fieldPosition="0">
        <references count="2">
          <reference field="4294967294" count="1" selected="0">
            <x v="0"/>
          </reference>
          <reference field="1" count="1" selected="0">
            <x v="7"/>
          </reference>
        </references>
      </pivotArea>
    </chartFormat>
    <chartFormat chart="29" format="48">
      <pivotArea type="data" outline="0" fieldPosition="0">
        <references count="2">
          <reference field="4294967294" count="1" selected="0">
            <x v="0"/>
          </reference>
          <reference field="1" count="1" selected="0">
            <x v="8"/>
          </reference>
        </references>
      </pivotArea>
    </chartFormat>
    <chartFormat chart="29" format="49">
      <pivotArea type="data" outline="0" fieldPosition="0">
        <references count="2">
          <reference field="4294967294" count="1" selected="0">
            <x v="0"/>
          </reference>
          <reference field="1" count="1" selected="0">
            <x v="9"/>
          </reference>
        </references>
      </pivotArea>
    </chartFormat>
    <chartFormat chart="29" format="50">
      <pivotArea type="data" outline="0" fieldPosition="0">
        <references count="2">
          <reference field="4294967294" count="1" selected="0">
            <x v="0"/>
          </reference>
          <reference field="1" count="1" selected="0">
            <x v="10"/>
          </reference>
        </references>
      </pivotArea>
    </chartFormat>
    <chartFormat chart="29" format="51">
      <pivotArea type="data" outline="0" fieldPosition="0">
        <references count="2">
          <reference field="4294967294" count="1" selected="0">
            <x v="0"/>
          </reference>
          <reference field="1" count="1" selected="0">
            <x v="11"/>
          </reference>
        </references>
      </pivotArea>
    </chartFormat>
    <chartFormat chart="29" format="52">
      <pivotArea type="data" outline="0" fieldPosition="0">
        <references count="2">
          <reference field="4294967294" count="1" selected="0">
            <x v="0"/>
          </reference>
          <reference field="1" count="1" selected="0">
            <x v="12"/>
          </reference>
        </references>
      </pivotArea>
    </chartFormat>
    <chartFormat chart="29" format="53">
      <pivotArea type="data" outline="0" fieldPosition="0">
        <references count="2">
          <reference field="4294967294" count="1" selected="0">
            <x v="0"/>
          </reference>
          <reference field="1" count="1" selected="0">
            <x v="13"/>
          </reference>
        </references>
      </pivotArea>
    </chartFormat>
    <chartFormat chart="29" format="54">
      <pivotArea type="data" outline="0" fieldPosition="0">
        <references count="2">
          <reference field="4294967294" count="1" selected="0">
            <x v="0"/>
          </reference>
          <reference field="1" count="1" selected="0">
            <x v="14"/>
          </reference>
        </references>
      </pivotArea>
    </chartFormat>
    <chartFormat chart="29" format="55">
      <pivotArea type="data" outline="0" fieldPosition="0">
        <references count="2">
          <reference field="4294967294" count="1" selected="0">
            <x v="0"/>
          </reference>
          <reference field="1" count="1" selected="0">
            <x v="15"/>
          </reference>
        </references>
      </pivotArea>
    </chartFormat>
    <chartFormat chart="29" format="56">
      <pivotArea type="data" outline="0" fieldPosition="0">
        <references count="2">
          <reference field="4294967294" count="1" selected="0">
            <x v="0"/>
          </reference>
          <reference field="1" count="1" selected="0">
            <x v="16"/>
          </reference>
        </references>
      </pivotArea>
    </chartFormat>
    <chartFormat chart="29" format="57">
      <pivotArea type="data" outline="0" fieldPosition="0">
        <references count="2">
          <reference field="4294967294" count="1" selected="0">
            <x v="0"/>
          </reference>
          <reference field="1" count="1" selected="0">
            <x v="17"/>
          </reference>
        </references>
      </pivotArea>
    </chartFormat>
    <chartFormat chart="29" format="58">
      <pivotArea type="data" outline="0" fieldPosition="0">
        <references count="2">
          <reference field="4294967294" count="1" selected="0">
            <x v="0"/>
          </reference>
          <reference field="1" count="1" selected="0">
            <x v="18"/>
          </reference>
        </references>
      </pivotArea>
    </chartFormat>
    <chartFormat chart="29" format="59">
      <pivotArea type="data" outline="0" fieldPosition="0">
        <references count="2">
          <reference field="4294967294" count="1" selected="0">
            <x v="0"/>
          </reference>
          <reference field="1" count="1" selected="0">
            <x v="19"/>
          </reference>
        </references>
      </pivotArea>
    </chartFormat>
    <chartFormat chart="29" format="60">
      <pivotArea type="data" outline="0" fieldPosition="0">
        <references count="2">
          <reference field="4294967294" count="1" selected="0">
            <x v="0"/>
          </reference>
          <reference field="1" count="1" selected="0">
            <x v="20"/>
          </reference>
        </references>
      </pivotArea>
    </chartFormat>
    <chartFormat chart="29" format="61">
      <pivotArea type="data" outline="0" fieldPosition="0">
        <references count="2">
          <reference field="4294967294" count="1" selected="0">
            <x v="0"/>
          </reference>
          <reference field="1" count="1" selected="0">
            <x v="21"/>
          </reference>
        </references>
      </pivotArea>
    </chartFormat>
    <chartFormat chart="29" format="62">
      <pivotArea type="data" outline="0" fieldPosition="0">
        <references count="2">
          <reference field="4294967294" count="1" selected="0">
            <x v="0"/>
          </reference>
          <reference field="1" count="1" selected="0">
            <x v="22"/>
          </reference>
        </references>
      </pivotArea>
    </chartFormat>
    <chartFormat chart="29" format="63">
      <pivotArea type="data" outline="0" fieldPosition="0">
        <references count="2">
          <reference field="4294967294" count="1" selected="0">
            <x v="0"/>
          </reference>
          <reference field="1" count="1" selected="0">
            <x v="23"/>
          </reference>
        </references>
      </pivotArea>
    </chartFormat>
    <chartFormat chart="29" format="64">
      <pivotArea type="data" outline="0" fieldPosition="0">
        <references count="2">
          <reference field="4294967294" count="1" selected="0">
            <x v="0"/>
          </reference>
          <reference field="1" count="1" selected="0">
            <x v="24"/>
          </reference>
        </references>
      </pivotArea>
    </chartFormat>
    <chartFormat chart="29" format="65">
      <pivotArea type="data" outline="0" fieldPosition="0">
        <references count="2">
          <reference field="4294967294" count="1" selected="0">
            <x v="0"/>
          </reference>
          <reference field="1" count="1" selected="0">
            <x v="25"/>
          </reference>
        </references>
      </pivotArea>
    </chartFormat>
    <chartFormat chart="29" format="66">
      <pivotArea type="data" outline="0" fieldPosition="0">
        <references count="2">
          <reference field="4294967294" count="1" selected="0">
            <x v="0"/>
          </reference>
          <reference field="1" count="1" selected="0">
            <x v="26"/>
          </reference>
        </references>
      </pivotArea>
    </chartFormat>
    <chartFormat chart="29" format="67">
      <pivotArea type="data" outline="0" fieldPosition="0">
        <references count="2">
          <reference field="4294967294" count="1" selected="0">
            <x v="0"/>
          </reference>
          <reference field="1" count="1" selected="0">
            <x v="27"/>
          </reference>
        </references>
      </pivotArea>
    </chartFormat>
    <chartFormat chart="29" format="68">
      <pivotArea type="data" outline="0" fieldPosition="0">
        <references count="2">
          <reference field="4294967294" count="1" selected="0">
            <x v="0"/>
          </reference>
          <reference field="1" count="1" selected="0">
            <x v="28"/>
          </reference>
        </references>
      </pivotArea>
    </chartFormat>
    <chartFormat chart="29" format="69">
      <pivotArea type="data" outline="0" fieldPosition="0">
        <references count="2">
          <reference field="4294967294" count="1" selected="0">
            <x v="0"/>
          </reference>
          <reference field="1" count="1" selected="0">
            <x v="29"/>
          </reference>
        </references>
      </pivotArea>
    </chartFormat>
    <chartFormat chart="29" format="70">
      <pivotArea type="data" outline="0" fieldPosition="0">
        <references count="2">
          <reference field="4294967294" count="1" selected="0">
            <x v="0"/>
          </reference>
          <reference field="1" count="1" selected="0">
            <x v="30"/>
          </reference>
        </references>
      </pivotArea>
    </chartFormat>
    <chartFormat chart="29" format="71">
      <pivotArea type="data" outline="0" fieldPosition="0">
        <references count="2">
          <reference field="4294967294" count="1" selected="0">
            <x v="0"/>
          </reference>
          <reference field="1" count="1" selected="0">
            <x v="31"/>
          </reference>
        </references>
      </pivotArea>
    </chartFormat>
    <chartFormat chart="29" format="72">
      <pivotArea type="data" outline="0" fieldPosition="0">
        <references count="2">
          <reference field="4294967294" count="1" selected="0">
            <x v="0"/>
          </reference>
          <reference field="1" count="1" selected="0">
            <x v="32"/>
          </reference>
        </references>
      </pivotArea>
    </chartFormat>
    <chartFormat chart="29" format="73">
      <pivotArea type="data" outline="0" fieldPosition="0">
        <references count="2">
          <reference field="4294967294" count="1" selected="0">
            <x v="0"/>
          </reference>
          <reference field="1" count="1" selected="0">
            <x v="33"/>
          </reference>
        </references>
      </pivotArea>
    </chartFormat>
    <chartFormat chart="29" format="74">
      <pivotArea type="data" outline="0" fieldPosition="0">
        <references count="2">
          <reference field="4294967294" count="1" selected="0">
            <x v="0"/>
          </reference>
          <reference field="1" count="1" selected="0">
            <x v="34"/>
          </reference>
        </references>
      </pivotArea>
    </chartFormat>
    <chartFormat chart="29" format="75">
      <pivotArea type="data" outline="0" fieldPosition="0">
        <references count="2">
          <reference field="4294967294" count="1" selected="0">
            <x v="0"/>
          </reference>
          <reference field="1" count="1" selected="0">
            <x v="35"/>
          </reference>
        </references>
      </pivotArea>
    </chartFormat>
    <chartFormat chart="29" format="76">
      <pivotArea type="data" outline="0" fieldPosition="0">
        <references count="2">
          <reference field="4294967294" count="1" selected="0">
            <x v="0"/>
          </reference>
          <reference field="1" count="1" selected="0">
            <x v="36"/>
          </reference>
        </references>
      </pivotArea>
    </chartFormat>
    <chartFormat chart="31" format="298" series="1">
      <pivotArea type="data" outline="0" fieldPosition="0">
        <references count="1">
          <reference field="4294967294" count="1" selected="0">
            <x v="0"/>
          </reference>
        </references>
      </pivotArea>
    </chartFormat>
    <chartFormat chart="33" format="115" series="1">
      <pivotArea type="data" outline="0" fieldPosition="0">
        <references count="1">
          <reference field="4294967294" count="1" selected="0">
            <x v="0"/>
          </reference>
        </references>
      </pivotArea>
    </chartFormat>
    <chartFormat chart="33" format="116">
      <pivotArea type="data" outline="0" fieldPosition="0">
        <references count="2">
          <reference field="4294967294" count="1" selected="0">
            <x v="0"/>
          </reference>
          <reference field="1" count="1" selected="0">
            <x v="0"/>
          </reference>
        </references>
      </pivotArea>
    </chartFormat>
    <chartFormat chart="33" format="117">
      <pivotArea type="data" outline="0" fieldPosition="0">
        <references count="2">
          <reference field="4294967294" count="1" selected="0">
            <x v="0"/>
          </reference>
          <reference field="1" count="1" selected="0">
            <x v="1"/>
          </reference>
        </references>
      </pivotArea>
    </chartFormat>
    <chartFormat chart="33" format="118">
      <pivotArea type="data" outline="0" fieldPosition="0">
        <references count="2">
          <reference field="4294967294" count="1" selected="0">
            <x v="0"/>
          </reference>
          <reference field="1" count="1" selected="0">
            <x v="2"/>
          </reference>
        </references>
      </pivotArea>
    </chartFormat>
    <chartFormat chart="33" format="119">
      <pivotArea type="data" outline="0" fieldPosition="0">
        <references count="2">
          <reference field="4294967294" count="1" selected="0">
            <x v="0"/>
          </reference>
          <reference field="1" count="1" selected="0">
            <x v="3"/>
          </reference>
        </references>
      </pivotArea>
    </chartFormat>
    <chartFormat chart="33" format="120">
      <pivotArea type="data" outline="0" fieldPosition="0">
        <references count="2">
          <reference field="4294967294" count="1" selected="0">
            <x v="0"/>
          </reference>
          <reference field="1" count="1" selected="0">
            <x v="4"/>
          </reference>
        </references>
      </pivotArea>
    </chartFormat>
    <chartFormat chart="33" format="121">
      <pivotArea type="data" outline="0" fieldPosition="0">
        <references count="2">
          <reference field="4294967294" count="1" selected="0">
            <x v="0"/>
          </reference>
          <reference field="1" count="1" selected="0">
            <x v="5"/>
          </reference>
        </references>
      </pivotArea>
    </chartFormat>
    <chartFormat chart="33" format="122">
      <pivotArea type="data" outline="0" fieldPosition="0">
        <references count="2">
          <reference field="4294967294" count="1" selected="0">
            <x v="0"/>
          </reference>
          <reference field="1" count="1" selected="0">
            <x v="6"/>
          </reference>
        </references>
      </pivotArea>
    </chartFormat>
    <chartFormat chart="33" format="123">
      <pivotArea type="data" outline="0" fieldPosition="0">
        <references count="2">
          <reference field="4294967294" count="1" selected="0">
            <x v="0"/>
          </reference>
          <reference field="1" count="1" selected="0">
            <x v="7"/>
          </reference>
        </references>
      </pivotArea>
    </chartFormat>
    <chartFormat chart="33" format="124">
      <pivotArea type="data" outline="0" fieldPosition="0">
        <references count="2">
          <reference field="4294967294" count="1" selected="0">
            <x v="0"/>
          </reference>
          <reference field="1" count="1" selected="0">
            <x v="8"/>
          </reference>
        </references>
      </pivotArea>
    </chartFormat>
    <chartFormat chart="33" format="125">
      <pivotArea type="data" outline="0" fieldPosition="0">
        <references count="2">
          <reference field="4294967294" count="1" selected="0">
            <x v="0"/>
          </reference>
          <reference field="1" count="1" selected="0">
            <x v="9"/>
          </reference>
        </references>
      </pivotArea>
    </chartFormat>
    <chartFormat chart="33" format="126">
      <pivotArea type="data" outline="0" fieldPosition="0">
        <references count="2">
          <reference field="4294967294" count="1" selected="0">
            <x v="0"/>
          </reference>
          <reference field="1" count="1" selected="0">
            <x v="10"/>
          </reference>
        </references>
      </pivotArea>
    </chartFormat>
    <chartFormat chart="33" format="127">
      <pivotArea type="data" outline="0" fieldPosition="0">
        <references count="2">
          <reference field="4294967294" count="1" selected="0">
            <x v="0"/>
          </reference>
          <reference field="1" count="1" selected="0">
            <x v="11"/>
          </reference>
        </references>
      </pivotArea>
    </chartFormat>
    <chartFormat chart="33" format="128">
      <pivotArea type="data" outline="0" fieldPosition="0">
        <references count="2">
          <reference field="4294967294" count="1" selected="0">
            <x v="0"/>
          </reference>
          <reference field="1" count="1" selected="0">
            <x v="12"/>
          </reference>
        </references>
      </pivotArea>
    </chartFormat>
    <chartFormat chart="33" format="129">
      <pivotArea type="data" outline="0" fieldPosition="0">
        <references count="2">
          <reference field="4294967294" count="1" selected="0">
            <x v="0"/>
          </reference>
          <reference field="1" count="1" selected="0">
            <x v="13"/>
          </reference>
        </references>
      </pivotArea>
    </chartFormat>
    <chartFormat chart="33" format="130">
      <pivotArea type="data" outline="0" fieldPosition="0">
        <references count="2">
          <reference field="4294967294" count="1" selected="0">
            <x v="0"/>
          </reference>
          <reference field="1" count="1" selected="0">
            <x v="14"/>
          </reference>
        </references>
      </pivotArea>
    </chartFormat>
    <chartFormat chart="33" format="131">
      <pivotArea type="data" outline="0" fieldPosition="0">
        <references count="2">
          <reference field="4294967294" count="1" selected="0">
            <x v="0"/>
          </reference>
          <reference field="1" count="1" selected="0">
            <x v="15"/>
          </reference>
        </references>
      </pivotArea>
    </chartFormat>
    <chartFormat chart="33" format="132">
      <pivotArea type="data" outline="0" fieldPosition="0">
        <references count="2">
          <reference field="4294967294" count="1" selected="0">
            <x v="0"/>
          </reference>
          <reference field="1" count="1" selected="0">
            <x v="16"/>
          </reference>
        </references>
      </pivotArea>
    </chartFormat>
    <chartFormat chart="33" format="133">
      <pivotArea type="data" outline="0" fieldPosition="0">
        <references count="2">
          <reference field="4294967294" count="1" selected="0">
            <x v="0"/>
          </reference>
          <reference field="1" count="1" selected="0">
            <x v="17"/>
          </reference>
        </references>
      </pivotArea>
    </chartFormat>
    <chartFormat chart="33" format="134">
      <pivotArea type="data" outline="0" fieldPosition="0">
        <references count="2">
          <reference field="4294967294" count="1" selected="0">
            <x v="0"/>
          </reference>
          <reference field="1" count="1" selected="0">
            <x v="18"/>
          </reference>
        </references>
      </pivotArea>
    </chartFormat>
    <chartFormat chart="33" format="135">
      <pivotArea type="data" outline="0" fieldPosition="0">
        <references count="2">
          <reference field="4294967294" count="1" selected="0">
            <x v="0"/>
          </reference>
          <reference field="1" count="1" selected="0">
            <x v="19"/>
          </reference>
        </references>
      </pivotArea>
    </chartFormat>
    <chartFormat chart="33" format="136">
      <pivotArea type="data" outline="0" fieldPosition="0">
        <references count="2">
          <reference field="4294967294" count="1" selected="0">
            <x v="0"/>
          </reference>
          <reference field="1" count="1" selected="0">
            <x v="20"/>
          </reference>
        </references>
      </pivotArea>
    </chartFormat>
    <chartFormat chart="33" format="137">
      <pivotArea type="data" outline="0" fieldPosition="0">
        <references count="2">
          <reference field="4294967294" count="1" selected="0">
            <x v="0"/>
          </reference>
          <reference field="1" count="1" selected="0">
            <x v="21"/>
          </reference>
        </references>
      </pivotArea>
    </chartFormat>
    <chartFormat chart="33" format="138">
      <pivotArea type="data" outline="0" fieldPosition="0">
        <references count="2">
          <reference field="4294967294" count="1" selected="0">
            <x v="0"/>
          </reference>
          <reference field="1" count="1" selected="0">
            <x v="22"/>
          </reference>
        </references>
      </pivotArea>
    </chartFormat>
    <chartFormat chart="33" format="139">
      <pivotArea type="data" outline="0" fieldPosition="0">
        <references count="2">
          <reference field="4294967294" count="1" selected="0">
            <x v="0"/>
          </reference>
          <reference field="1" count="1" selected="0">
            <x v="23"/>
          </reference>
        </references>
      </pivotArea>
    </chartFormat>
    <chartFormat chart="33" format="140">
      <pivotArea type="data" outline="0" fieldPosition="0">
        <references count="2">
          <reference field="4294967294" count="1" selected="0">
            <x v="0"/>
          </reference>
          <reference field="1" count="1" selected="0">
            <x v="24"/>
          </reference>
        </references>
      </pivotArea>
    </chartFormat>
    <chartFormat chart="33" format="141">
      <pivotArea type="data" outline="0" fieldPosition="0">
        <references count="2">
          <reference field="4294967294" count="1" selected="0">
            <x v="0"/>
          </reference>
          <reference field="1" count="1" selected="0">
            <x v="25"/>
          </reference>
        </references>
      </pivotArea>
    </chartFormat>
    <chartFormat chart="33" format="142">
      <pivotArea type="data" outline="0" fieldPosition="0">
        <references count="2">
          <reference field="4294967294" count="1" selected="0">
            <x v="0"/>
          </reference>
          <reference field="1" count="1" selected="0">
            <x v="26"/>
          </reference>
        </references>
      </pivotArea>
    </chartFormat>
    <chartFormat chart="33" format="143">
      <pivotArea type="data" outline="0" fieldPosition="0">
        <references count="2">
          <reference field="4294967294" count="1" selected="0">
            <x v="0"/>
          </reference>
          <reference field="1" count="1" selected="0">
            <x v="27"/>
          </reference>
        </references>
      </pivotArea>
    </chartFormat>
    <chartFormat chart="33" format="144">
      <pivotArea type="data" outline="0" fieldPosition="0">
        <references count="2">
          <reference field="4294967294" count="1" selected="0">
            <x v="0"/>
          </reference>
          <reference field="1" count="1" selected="0">
            <x v="28"/>
          </reference>
        </references>
      </pivotArea>
    </chartFormat>
    <chartFormat chart="33" format="145">
      <pivotArea type="data" outline="0" fieldPosition="0">
        <references count="2">
          <reference field="4294967294" count="1" selected="0">
            <x v="0"/>
          </reference>
          <reference field="1" count="1" selected="0">
            <x v="29"/>
          </reference>
        </references>
      </pivotArea>
    </chartFormat>
    <chartFormat chart="33" format="146">
      <pivotArea type="data" outline="0" fieldPosition="0">
        <references count="2">
          <reference field="4294967294" count="1" selected="0">
            <x v="0"/>
          </reference>
          <reference field="1" count="1" selected="0">
            <x v="30"/>
          </reference>
        </references>
      </pivotArea>
    </chartFormat>
    <chartFormat chart="33" format="147">
      <pivotArea type="data" outline="0" fieldPosition="0">
        <references count="2">
          <reference field="4294967294" count="1" selected="0">
            <x v="0"/>
          </reference>
          <reference field="1" count="1" selected="0">
            <x v="31"/>
          </reference>
        </references>
      </pivotArea>
    </chartFormat>
    <chartFormat chart="33" format="148">
      <pivotArea type="data" outline="0" fieldPosition="0">
        <references count="2">
          <reference field="4294967294" count="1" selected="0">
            <x v="0"/>
          </reference>
          <reference field="1" count="1" selected="0">
            <x v="32"/>
          </reference>
        </references>
      </pivotArea>
    </chartFormat>
    <chartFormat chart="33" format="149">
      <pivotArea type="data" outline="0" fieldPosition="0">
        <references count="2">
          <reference field="4294967294" count="1" selected="0">
            <x v="0"/>
          </reference>
          <reference field="1" count="1" selected="0">
            <x v="33"/>
          </reference>
        </references>
      </pivotArea>
    </chartFormat>
    <chartFormat chart="33" format="150">
      <pivotArea type="data" outline="0" fieldPosition="0">
        <references count="2">
          <reference field="4294967294" count="1" selected="0">
            <x v="0"/>
          </reference>
          <reference field="1" count="1" selected="0">
            <x v="34"/>
          </reference>
        </references>
      </pivotArea>
    </chartFormat>
    <chartFormat chart="33" format="151">
      <pivotArea type="data" outline="0" fieldPosition="0">
        <references count="2">
          <reference field="4294967294" count="1" selected="0">
            <x v="0"/>
          </reference>
          <reference field="1" count="1" selected="0">
            <x v="35"/>
          </reference>
        </references>
      </pivotArea>
    </chartFormat>
    <chartFormat chart="33" format="152">
      <pivotArea type="data" outline="0" fieldPosition="0">
        <references count="2">
          <reference field="4294967294" count="1" selected="0">
            <x v="0"/>
          </reference>
          <reference field="1" count="1" selected="0">
            <x v="3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7A269F3-2347-4509-8183-FAA3E684034C}"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41" firstHeaderRow="1" firstDataRow="1" firstDataCol="1" rowPageCount="1" colPageCount="1"/>
  <pivotFields count="8">
    <pivotField showAll="0"/>
    <pivotField axis="axisRow" showAll="0">
      <items count="38">
        <item x="1"/>
        <item x="2"/>
        <item x="3"/>
        <item x="4"/>
        <item x="5"/>
        <item x="6"/>
        <item x="7"/>
        <item x="8"/>
        <item x="9"/>
        <item x="10"/>
        <item x="11"/>
        <item x="12"/>
        <item x="13"/>
        <item x="0"/>
        <item x="14"/>
        <item x="15"/>
        <item x="16"/>
        <item x="17"/>
        <item x="18"/>
        <item x="19"/>
        <item x="20"/>
        <item x="21"/>
        <item x="22"/>
        <item x="23"/>
        <item x="24"/>
        <item x="25"/>
        <item x="26"/>
        <item x="27"/>
        <item x="28"/>
        <item x="29"/>
        <item x="30"/>
        <item x="31"/>
        <item x="32"/>
        <item x="33"/>
        <item x="34"/>
        <item x="35"/>
        <item x="36"/>
        <item t="default"/>
      </items>
    </pivotField>
    <pivotField showAll="0">
      <items count="38">
        <item x="19"/>
        <item x="18"/>
        <item x="1"/>
        <item x="30"/>
        <item x="8"/>
        <item x="6"/>
        <item x="24"/>
        <item x="27"/>
        <item x="10"/>
        <item x="3"/>
        <item x="25"/>
        <item x="22"/>
        <item x="33"/>
        <item x="23"/>
        <item x="13"/>
        <item x="14"/>
        <item x="35"/>
        <item x="9"/>
        <item x="28"/>
        <item x="17"/>
        <item x="7"/>
        <item x="12"/>
        <item x="32"/>
        <item x="4"/>
        <item x="26"/>
        <item x="2"/>
        <item x="15"/>
        <item x="16"/>
        <item x="31"/>
        <item x="11"/>
        <item x="36"/>
        <item x="29"/>
        <item x="21"/>
        <item x="20"/>
        <item x="5"/>
        <item x="34"/>
        <item x="0"/>
        <item t="default"/>
      </items>
    </pivotField>
    <pivotField showAll="0">
      <items count="38">
        <item x="19"/>
        <item x="18"/>
        <item x="1"/>
        <item x="30"/>
        <item x="8"/>
        <item x="27"/>
        <item x="24"/>
        <item x="6"/>
        <item x="10"/>
        <item x="3"/>
        <item x="25"/>
        <item x="22"/>
        <item x="33"/>
        <item x="23"/>
        <item x="13"/>
        <item x="35"/>
        <item x="14"/>
        <item x="9"/>
        <item x="28"/>
        <item x="17"/>
        <item x="12"/>
        <item x="7"/>
        <item x="32"/>
        <item x="4"/>
        <item x="26"/>
        <item x="2"/>
        <item x="15"/>
        <item x="16"/>
        <item x="31"/>
        <item x="11"/>
        <item x="36"/>
        <item x="29"/>
        <item x="20"/>
        <item x="21"/>
        <item x="5"/>
        <item x="34"/>
        <item x="0"/>
        <item t="default"/>
      </items>
    </pivotField>
    <pivotField showAll="0">
      <items count="38">
        <item x="19"/>
        <item x="18"/>
        <item x="1"/>
        <item x="8"/>
        <item x="30"/>
        <item x="6"/>
        <item x="27"/>
        <item x="24"/>
        <item x="10"/>
        <item x="3"/>
        <item x="25"/>
        <item x="22"/>
        <item x="33"/>
        <item x="23"/>
        <item x="13"/>
        <item x="35"/>
        <item x="14"/>
        <item x="9"/>
        <item x="28"/>
        <item x="17"/>
        <item x="12"/>
        <item x="7"/>
        <item x="32"/>
        <item x="4"/>
        <item x="2"/>
        <item x="26"/>
        <item x="15"/>
        <item x="16"/>
        <item x="31"/>
        <item x="11"/>
        <item x="36"/>
        <item x="29"/>
        <item x="20"/>
        <item x="21"/>
        <item x="5"/>
        <item x="34"/>
        <item x="0"/>
        <item t="default"/>
      </items>
    </pivotField>
    <pivotField showAll="0">
      <items count="38">
        <item x="19"/>
        <item x="18"/>
        <item x="1"/>
        <item x="8"/>
        <item x="30"/>
        <item x="27"/>
        <item x="10"/>
        <item x="6"/>
        <item x="24"/>
        <item x="3"/>
        <item x="25"/>
        <item x="22"/>
        <item x="23"/>
        <item x="33"/>
        <item x="13"/>
        <item x="35"/>
        <item x="14"/>
        <item x="9"/>
        <item x="28"/>
        <item x="17"/>
        <item x="7"/>
        <item x="12"/>
        <item x="32"/>
        <item x="4"/>
        <item x="26"/>
        <item x="15"/>
        <item x="2"/>
        <item x="16"/>
        <item x="31"/>
        <item x="11"/>
        <item x="29"/>
        <item x="36"/>
        <item x="20"/>
        <item x="21"/>
        <item x="5"/>
        <item x="34"/>
        <item x="0"/>
        <item t="default"/>
      </items>
    </pivotField>
    <pivotField dataField="1" showAll="0"/>
    <pivotField axis="axisPage" showAll="0">
      <items count="3">
        <item x="0"/>
        <item x="1"/>
        <item t="default"/>
      </items>
    </pivotField>
  </pivotFields>
  <rowFields count="1">
    <field x="1"/>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t="grand">
      <x/>
    </i>
  </rowItems>
  <colItems count="1">
    <i/>
  </colItems>
  <pageFields count="1">
    <pageField fld="7" hier="-1"/>
  </pageFields>
  <dataFields count="1">
    <dataField name="Sum of Overall - Boys - Population" fld="6" baseField="0" baseItem="0"/>
  </dataFields>
  <chartFormats count="78">
    <chartFormat chart="3" format="111" series="1">
      <pivotArea type="data" outline="0" fieldPosition="0">
        <references count="1">
          <reference field="4294967294" count="1" selected="0">
            <x v="0"/>
          </reference>
        </references>
      </pivotArea>
    </chartFormat>
    <chartFormat chart="7" format="39" series="1">
      <pivotArea type="data" outline="0" fieldPosition="0">
        <references count="1">
          <reference field="4294967294" count="1" selected="0">
            <x v="0"/>
          </reference>
        </references>
      </pivotArea>
    </chartFormat>
    <chartFormat chart="7" format="40">
      <pivotArea type="data" outline="0" fieldPosition="0">
        <references count="2">
          <reference field="4294967294" count="1" selected="0">
            <x v="0"/>
          </reference>
          <reference field="1" count="1" selected="0">
            <x v="0"/>
          </reference>
        </references>
      </pivotArea>
    </chartFormat>
    <chartFormat chart="7" format="41">
      <pivotArea type="data" outline="0" fieldPosition="0">
        <references count="2">
          <reference field="4294967294" count="1" selected="0">
            <x v="0"/>
          </reference>
          <reference field="1" count="1" selected="0">
            <x v="1"/>
          </reference>
        </references>
      </pivotArea>
    </chartFormat>
    <chartFormat chart="7" format="42">
      <pivotArea type="data" outline="0" fieldPosition="0">
        <references count="2">
          <reference field="4294967294" count="1" selected="0">
            <x v="0"/>
          </reference>
          <reference field="1" count="1" selected="0">
            <x v="2"/>
          </reference>
        </references>
      </pivotArea>
    </chartFormat>
    <chartFormat chart="7" format="43">
      <pivotArea type="data" outline="0" fieldPosition="0">
        <references count="2">
          <reference field="4294967294" count="1" selected="0">
            <x v="0"/>
          </reference>
          <reference field="1" count="1" selected="0">
            <x v="3"/>
          </reference>
        </references>
      </pivotArea>
    </chartFormat>
    <chartFormat chart="7" format="44">
      <pivotArea type="data" outline="0" fieldPosition="0">
        <references count="2">
          <reference field="4294967294" count="1" selected="0">
            <x v="0"/>
          </reference>
          <reference field="1" count="1" selected="0">
            <x v="4"/>
          </reference>
        </references>
      </pivotArea>
    </chartFormat>
    <chartFormat chart="7" format="45">
      <pivotArea type="data" outline="0" fieldPosition="0">
        <references count="2">
          <reference field="4294967294" count="1" selected="0">
            <x v="0"/>
          </reference>
          <reference field="1" count="1" selected="0">
            <x v="5"/>
          </reference>
        </references>
      </pivotArea>
    </chartFormat>
    <chartFormat chart="7" format="46">
      <pivotArea type="data" outline="0" fieldPosition="0">
        <references count="2">
          <reference field="4294967294" count="1" selected="0">
            <x v="0"/>
          </reference>
          <reference field="1" count="1" selected="0">
            <x v="6"/>
          </reference>
        </references>
      </pivotArea>
    </chartFormat>
    <chartFormat chart="7" format="47">
      <pivotArea type="data" outline="0" fieldPosition="0">
        <references count="2">
          <reference field="4294967294" count="1" selected="0">
            <x v="0"/>
          </reference>
          <reference field="1" count="1" selected="0">
            <x v="7"/>
          </reference>
        </references>
      </pivotArea>
    </chartFormat>
    <chartFormat chart="7" format="48">
      <pivotArea type="data" outline="0" fieldPosition="0">
        <references count="2">
          <reference field="4294967294" count="1" selected="0">
            <x v="0"/>
          </reference>
          <reference field="1" count="1" selected="0">
            <x v="8"/>
          </reference>
        </references>
      </pivotArea>
    </chartFormat>
    <chartFormat chart="7" format="49">
      <pivotArea type="data" outline="0" fieldPosition="0">
        <references count="2">
          <reference field="4294967294" count="1" selected="0">
            <x v="0"/>
          </reference>
          <reference field="1" count="1" selected="0">
            <x v="9"/>
          </reference>
        </references>
      </pivotArea>
    </chartFormat>
    <chartFormat chart="7" format="50">
      <pivotArea type="data" outline="0" fieldPosition="0">
        <references count="2">
          <reference field="4294967294" count="1" selected="0">
            <x v="0"/>
          </reference>
          <reference field="1" count="1" selected="0">
            <x v="10"/>
          </reference>
        </references>
      </pivotArea>
    </chartFormat>
    <chartFormat chart="7" format="51">
      <pivotArea type="data" outline="0" fieldPosition="0">
        <references count="2">
          <reference field="4294967294" count="1" selected="0">
            <x v="0"/>
          </reference>
          <reference field="1" count="1" selected="0">
            <x v="11"/>
          </reference>
        </references>
      </pivotArea>
    </chartFormat>
    <chartFormat chart="7" format="52">
      <pivotArea type="data" outline="0" fieldPosition="0">
        <references count="2">
          <reference field="4294967294" count="1" selected="0">
            <x v="0"/>
          </reference>
          <reference field="1" count="1" selected="0">
            <x v="12"/>
          </reference>
        </references>
      </pivotArea>
    </chartFormat>
    <chartFormat chart="7" format="53">
      <pivotArea type="data" outline="0" fieldPosition="0">
        <references count="2">
          <reference field="4294967294" count="1" selected="0">
            <x v="0"/>
          </reference>
          <reference field="1" count="1" selected="0">
            <x v="13"/>
          </reference>
        </references>
      </pivotArea>
    </chartFormat>
    <chartFormat chart="7" format="54">
      <pivotArea type="data" outline="0" fieldPosition="0">
        <references count="2">
          <reference field="4294967294" count="1" selected="0">
            <x v="0"/>
          </reference>
          <reference field="1" count="1" selected="0">
            <x v="14"/>
          </reference>
        </references>
      </pivotArea>
    </chartFormat>
    <chartFormat chart="7" format="55">
      <pivotArea type="data" outline="0" fieldPosition="0">
        <references count="2">
          <reference field="4294967294" count="1" selected="0">
            <x v="0"/>
          </reference>
          <reference field="1" count="1" selected="0">
            <x v="15"/>
          </reference>
        </references>
      </pivotArea>
    </chartFormat>
    <chartFormat chart="7" format="56">
      <pivotArea type="data" outline="0" fieldPosition="0">
        <references count="2">
          <reference field="4294967294" count="1" selected="0">
            <x v="0"/>
          </reference>
          <reference field="1" count="1" selected="0">
            <x v="16"/>
          </reference>
        </references>
      </pivotArea>
    </chartFormat>
    <chartFormat chart="7" format="57">
      <pivotArea type="data" outline="0" fieldPosition="0">
        <references count="2">
          <reference field="4294967294" count="1" selected="0">
            <x v="0"/>
          </reference>
          <reference field="1" count="1" selected="0">
            <x v="17"/>
          </reference>
        </references>
      </pivotArea>
    </chartFormat>
    <chartFormat chart="7" format="58">
      <pivotArea type="data" outline="0" fieldPosition="0">
        <references count="2">
          <reference field="4294967294" count="1" selected="0">
            <x v="0"/>
          </reference>
          <reference field="1" count="1" selected="0">
            <x v="18"/>
          </reference>
        </references>
      </pivotArea>
    </chartFormat>
    <chartFormat chart="7" format="59">
      <pivotArea type="data" outline="0" fieldPosition="0">
        <references count="2">
          <reference field="4294967294" count="1" selected="0">
            <x v="0"/>
          </reference>
          <reference field="1" count="1" selected="0">
            <x v="19"/>
          </reference>
        </references>
      </pivotArea>
    </chartFormat>
    <chartFormat chart="7" format="60">
      <pivotArea type="data" outline="0" fieldPosition="0">
        <references count="2">
          <reference field="4294967294" count="1" selected="0">
            <x v="0"/>
          </reference>
          <reference field="1" count="1" selected="0">
            <x v="20"/>
          </reference>
        </references>
      </pivotArea>
    </chartFormat>
    <chartFormat chart="7" format="61">
      <pivotArea type="data" outline="0" fieldPosition="0">
        <references count="2">
          <reference field="4294967294" count="1" selected="0">
            <x v="0"/>
          </reference>
          <reference field="1" count="1" selected="0">
            <x v="21"/>
          </reference>
        </references>
      </pivotArea>
    </chartFormat>
    <chartFormat chart="7" format="62">
      <pivotArea type="data" outline="0" fieldPosition="0">
        <references count="2">
          <reference field="4294967294" count="1" selected="0">
            <x v="0"/>
          </reference>
          <reference field="1" count="1" selected="0">
            <x v="22"/>
          </reference>
        </references>
      </pivotArea>
    </chartFormat>
    <chartFormat chart="7" format="63">
      <pivotArea type="data" outline="0" fieldPosition="0">
        <references count="2">
          <reference field="4294967294" count="1" selected="0">
            <x v="0"/>
          </reference>
          <reference field="1" count="1" selected="0">
            <x v="23"/>
          </reference>
        </references>
      </pivotArea>
    </chartFormat>
    <chartFormat chart="7" format="64">
      <pivotArea type="data" outline="0" fieldPosition="0">
        <references count="2">
          <reference field="4294967294" count="1" selected="0">
            <x v="0"/>
          </reference>
          <reference field="1" count="1" selected="0">
            <x v="24"/>
          </reference>
        </references>
      </pivotArea>
    </chartFormat>
    <chartFormat chart="7" format="65">
      <pivotArea type="data" outline="0" fieldPosition="0">
        <references count="2">
          <reference field="4294967294" count="1" selected="0">
            <x v="0"/>
          </reference>
          <reference field="1" count="1" selected="0">
            <x v="25"/>
          </reference>
        </references>
      </pivotArea>
    </chartFormat>
    <chartFormat chart="7" format="66">
      <pivotArea type="data" outline="0" fieldPosition="0">
        <references count="2">
          <reference field="4294967294" count="1" selected="0">
            <x v="0"/>
          </reference>
          <reference field="1" count="1" selected="0">
            <x v="26"/>
          </reference>
        </references>
      </pivotArea>
    </chartFormat>
    <chartFormat chart="7" format="67">
      <pivotArea type="data" outline="0" fieldPosition="0">
        <references count="2">
          <reference field="4294967294" count="1" selected="0">
            <x v="0"/>
          </reference>
          <reference field="1" count="1" selected="0">
            <x v="27"/>
          </reference>
        </references>
      </pivotArea>
    </chartFormat>
    <chartFormat chart="7" format="68">
      <pivotArea type="data" outline="0" fieldPosition="0">
        <references count="2">
          <reference field="4294967294" count="1" selected="0">
            <x v="0"/>
          </reference>
          <reference field="1" count="1" selected="0">
            <x v="28"/>
          </reference>
        </references>
      </pivotArea>
    </chartFormat>
    <chartFormat chart="7" format="69">
      <pivotArea type="data" outline="0" fieldPosition="0">
        <references count="2">
          <reference field="4294967294" count="1" selected="0">
            <x v="0"/>
          </reference>
          <reference field="1" count="1" selected="0">
            <x v="29"/>
          </reference>
        </references>
      </pivotArea>
    </chartFormat>
    <chartFormat chart="7" format="70">
      <pivotArea type="data" outline="0" fieldPosition="0">
        <references count="2">
          <reference field="4294967294" count="1" selected="0">
            <x v="0"/>
          </reference>
          <reference field="1" count="1" selected="0">
            <x v="30"/>
          </reference>
        </references>
      </pivotArea>
    </chartFormat>
    <chartFormat chart="7" format="71">
      <pivotArea type="data" outline="0" fieldPosition="0">
        <references count="2">
          <reference field="4294967294" count="1" selected="0">
            <x v="0"/>
          </reference>
          <reference field="1" count="1" selected="0">
            <x v="31"/>
          </reference>
        </references>
      </pivotArea>
    </chartFormat>
    <chartFormat chart="7" format="72">
      <pivotArea type="data" outline="0" fieldPosition="0">
        <references count="2">
          <reference field="4294967294" count="1" selected="0">
            <x v="0"/>
          </reference>
          <reference field="1" count="1" selected="0">
            <x v="32"/>
          </reference>
        </references>
      </pivotArea>
    </chartFormat>
    <chartFormat chart="7" format="73">
      <pivotArea type="data" outline="0" fieldPosition="0">
        <references count="2">
          <reference field="4294967294" count="1" selected="0">
            <x v="0"/>
          </reference>
          <reference field="1" count="1" selected="0">
            <x v="33"/>
          </reference>
        </references>
      </pivotArea>
    </chartFormat>
    <chartFormat chart="7" format="74">
      <pivotArea type="data" outline="0" fieldPosition="0">
        <references count="2">
          <reference field="4294967294" count="1" selected="0">
            <x v="0"/>
          </reference>
          <reference field="1" count="1" selected="0">
            <x v="34"/>
          </reference>
        </references>
      </pivotArea>
    </chartFormat>
    <chartFormat chart="7" format="75">
      <pivotArea type="data" outline="0" fieldPosition="0">
        <references count="2">
          <reference field="4294967294" count="1" selected="0">
            <x v="0"/>
          </reference>
          <reference field="1" count="1" selected="0">
            <x v="35"/>
          </reference>
        </references>
      </pivotArea>
    </chartFormat>
    <chartFormat chart="7" format="76">
      <pivotArea type="data" outline="0" fieldPosition="0">
        <references count="2">
          <reference field="4294967294" count="1" selected="0">
            <x v="0"/>
          </reference>
          <reference field="1" count="1" selected="0">
            <x v="36"/>
          </reference>
        </references>
      </pivotArea>
    </chartFormat>
    <chartFormat chart="10" format="113" series="1">
      <pivotArea type="data" outline="0" fieldPosition="0">
        <references count="1">
          <reference field="4294967294" count="1" selected="0">
            <x v="0"/>
          </reference>
        </references>
      </pivotArea>
    </chartFormat>
    <chartFormat chart="12" format="115" series="1">
      <pivotArea type="data" outline="0" fieldPosition="0">
        <references count="1">
          <reference field="4294967294" count="1" selected="0">
            <x v="0"/>
          </reference>
        </references>
      </pivotArea>
    </chartFormat>
    <chartFormat chart="12" format="116">
      <pivotArea type="data" outline="0" fieldPosition="0">
        <references count="2">
          <reference field="4294967294" count="1" selected="0">
            <x v="0"/>
          </reference>
          <reference field="1" count="1" selected="0">
            <x v="0"/>
          </reference>
        </references>
      </pivotArea>
    </chartFormat>
    <chartFormat chart="12" format="117">
      <pivotArea type="data" outline="0" fieldPosition="0">
        <references count="2">
          <reference field="4294967294" count="1" selected="0">
            <x v="0"/>
          </reference>
          <reference field="1" count="1" selected="0">
            <x v="1"/>
          </reference>
        </references>
      </pivotArea>
    </chartFormat>
    <chartFormat chart="12" format="118">
      <pivotArea type="data" outline="0" fieldPosition="0">
        <references count="2">
          <reference field="4294967294" count="1" selected="0">
            <x v="0"/>
          </reference>
          <reference field="1" count="1" selected="0">
            <x v="2"/>
          </reference>
        </references>
      </pivotArea>
    </chartFormat>
    <chartFormat chart="12" format="119">
      <pivotArea type="data" outline="0" fieldPosition="0">
        <references count="2">
          <reference field="4294967294" count="1" selected="0">
            <x v="0"/>
          </reference>
          <reference field="1" count="1" selected="0">
            <x v="3"/>
          </reference>
        </references>
      </pivotArea>
    </chartFormat>
    <chartFormat chart="12" format="120">
      <pivotArea type="data" outline="0" fieldPosition="0">
        <references count="2">
          <reference field="4294967294" count="1" selected="0">
            <x v="0"/>
          </reference>
          <reference field="1" count="1" selected="0">
            <x v="4"/>
          </reference>
        </references>
      </pivotArea>
    </chartFormat>
    <chartFormat chart="12" format="121">
      <pivotArea type="data" outline="0" fieldPosition="0">
        <references count="2">
          <reference field="4294967294" count="1" selected="0">
            <x v="0"/>
          </reference>
          <reference field="1" count="1" selected="0">
            <x v="5"/>
          </reference>
        </references>
      </pivotArea>
    </chartFormat>
    <chartFormat chart="12" format="122">
      <pivotArea type="data" outline="0" fieldPosition="0">
        <references count="2">
          <reference field="4294967294" count="1" selected="0">
            <x v="0"/>
          </reference>
          <reference field="1" count="1" selected="0">
            <x v="6"/>
          </reference>
        </references>
      </pivotArea>
    </chartFormat>
    <chartFormat chart="12" format="123">
      <pivotArea type="data" outline="0" fieldPosition="0">
        <references count="2">
          <reference field="4294967294" count="1" selected="0">
            <x v="0"/>
          </reference>
          <reference field="1" count="1" selected="0">
            <x v="7"/>
          </reference>
        </references>
      </pivotArea>
    </chartFormat>
    <chartFormat chart="12" format="124">
      <pivotArea type="data" outline="0" fieldPosition="0">
        <references count="2">
          <reference field="4294967294" count="1" selected="0">
            <x v="0"/>
          </reference>
          <reference field="1" count="1" selected="0">
            <x v="8"/>
          </reference>
        </references>
      </pivotArea>
    </chartFormat>
    <chartFormat chart="12" format="125">
      <pivotArea type="data" outline="0" fieldPosition="0">
        <references count="2">
          <reference field="4294967294" count="1" selected="0">
            <x v="0"/>
          </reference>
          <reference field="1" count="1" selected="0">
            <x v="9"/>
          </reference>
        </references>
      </pivotArea>
    </chartFormat>
    <chartFormat chart="12" format="126">
      <pivotArea type="data" outline="0" fieldPosition="0">
        <references count="2">
          <reference field="4294967294" count="1" selected="0">
            <x v="0"/>
          </reference>
          <reference field="1" count="1" selected="0">
            <x v="10"/>
          </reference>
        </references>
      </pivotArea>
    </chartFormat>
    <chartFormat chart="12" format="127">
      <pivotArea type="data" outline="0" fieldPosition="0">
        <references count="2">
          <reference field="4294967294" count="1" selected="0">
            <x v="0"/>
          </reference>
          <reference field="1" count="1" selected="0">
            <x v="11"/>
          </reference>
        </references>
      </pivotArea>
    </chartFormat>
    <chartFormat chart="12" format="128">
      <pivotArea type="data" outline="0" fieldPosition="0">
        <references count="2">
          <reference field="4294967294" count="1" selected="0">
            <x v="0"/>
          </reference>
          <reference field="1" count="1" selected="0">
            <x v="12"/>
          </reference>
        </references>
      </pivotArea>
    </chartFormat>
    <chartFormat chart="12" format="129">
      <pivotArea type="data" outline="0" fieldPosition="0">
        <references count="2">
          <reference field="4294967294" count="1" selected="0">
            <x v="0"/>
          </reference>
          <reference field="1" count="1" selected="0">
            <x v="13"/>
          </reference>
        </references>
      </pivotArea>
    </chartFormat>
    <chartFormat chart="12" format="130">
      <pivotArea type="data" outline="0" fieldPosition="0">
        <references count="2">
          <reference field="4294967294" count="1" selected="0">
            <x v="0"/>
          </reference>
          <reference field="1" count="1" selected="0">
            <x v="14"/>
          </reference>
        </references>
      </pivotArea>
    </chartFormat>
    <chartFormat chart="12" format="131">
      <pivotArea type="data" outline="0" fieldPosition="0">
        <references count="2">
          <reference field="4294967294" count="1" selected="0">
            <x v="0"/>
          </reference>
          <reference field="1" count="1" selected="0">
            <x v="15"/>
          </reference>
        </references>
      </pivotArea>
    </chartFormat>
    <chartFormat chart="12" format="132">
      <pivotArea type="data" outline="0" fieldPosition="0">
        <references count="2">
          <reference field="4294967294" count="1" selected="0">
            <x v="0"/>
          </reference>
          <reference field="1" count="1" selected="0">
            <x v="16"/>
          </reference>
        </references>
      </pivotArea>
    </chartFormat>
    <chartFormat chart="12" format="133">
      <pivotArea type="data" outline="0" fieldPosition="0">
        <references count="2">
          <reference field="4294967294" count="1" selected="0">
            <x v="0"/>
          </reference>
          <reference field="1" count="1" selected="0">
            <x v="17"/>
          </reference>
        </references>
      </pivotArea>
    </chartFormat>
    <chartFormat chart="12" format="134">
      <pivotArea type="data" outline="0" fieldPosition="0">
        <references count="2">
          <reference field="4294967294" count="1" selected="0">
            <x v="0"/>
          </reference>
          <reference field="1" count="1" selected="0">
            <x v="18"/>
          </reference>
        </references>
      </pivotArea>
    </chartFormat>
    <chartFormat chart="12" format="135">
      <pivotArea type="data" outline="0" fieldPosition="0">
        <references count="2">
          <reference field="4294967294" count="1" selected="0">
            <x v="0"/>
          </reference>
          <reference field="1" count="1" selected="0">
            <x v="19"/>
          </reference>
        </references>
      </pivotArea>
    </chartFormat>
    <chartFormat chart="12" format="136">
      <pivotArea type="data" outline="0" fieldPosition="0">
        <references count="2">
          <reference field="4294967294" count="1" selected="0">
            <x v="0"/>
          </reference>
          <reference field="1" count="1" selected="0">
            <x v="20"/>
          </reference>
        </references>
      </pivotArea>
    </chartFormat>
    <chartFormat chart="12" format="137">
      <pivotArea type="data" outline="0" fieldPosition="0">
        <references count="2">
          <reference field="4294967294" count="1" selected="0">
            <x v="0"/>
          </reference>
          <reference field="1" count="1" selected="0">
            <x v="21"/>
          </reference>
        </references>
      </pivotArea>
    </chartFormat>
    <chartFormat chart="12" format="138">
      <pivotArea type="data" outline="0" fieldPosition="0">
        <references count="2">
          <reference field="4294967294" count="1" selected="0">
            <x v="0"/>
          </reference>
          <reference field="1" count="1" selected="0">
            <x v="22"/>
          </reference>
        </references>
      </pivotArea>
    </chartFormat>
    <chartFormat chart="12" format="139">
      <pivotArea type="data" outline="0" fieldPosition="0">
        <references count="2">
          <reference field="4294967294" count="1" selected="0">
            <x v="0"/>
          </reference>
          <reference field="1" count="1" selected="0">
            <x v="23"/>
          </reference>
        </references>
      </pivotArea>
    </chartFormat>
    <chartFormat chart="12" format="140">
      <pivotArea type="data" outline="0" fieldPosition="0">
        <references count="2">
          <reference field="4294967294" count="1" selected="0">
            <x v="0"/>
          </reference>
          <reference field="1" count="1" selected="0">
            <x v="24"/>
          </reference>
        </references>
      </pivotArea>
    </chartFormat>
    <chartFormat chart="12" format="141">
      <pivotArea type="data" outline="0" fieldPosition="0">
        <references count="2">
          <reference field="4294967294" count="1" selected="0">
            <x v="0"/>
          </reference>
          <reference field="1" count="1" selected="0">
            <x v="25"/>
          </reference>
        </references>
      </pivotArea>
    </chartFormat>
    <chartFormat chart="12" format="142">
      <pivotArea type="data" outline="0" fieldPosition="0">
        <references count="2">
          <reference field="4294967294" count="1" selected="0">
            <x v="0"/>
          </reference>
          <reference field="1" count="1" selected="0">
            <x v="26"/>
          </reference>
        </references>
      </pivotArea>
    </chartFormat>
    <chartFormat chart="12" format="143">
      <pivotArea type="data" outline="0" fieldPosition="0">
        <references count="2">
          <reference field="4294967294" count="1" selected="0">
            <x v="0"/>
          </reference>
          <reference field="1" count="1" selected="0">
            <x v="27"/>
          </reference>
        </references>
      </pivotArea>
    </chartFormat>
    <chartFormat chart="12" format="144">
      <pivotArea type="data" outline="0" fieldPosition="0">
        <references count="2">
          <reference field="4294967294" count="1" selected="0">
            <x v="0"/>
          </reference>
          <reference field="1" count="1" selected="0">
            <x v="28"/>
          </reference>
        </references>
      </pivotArea>
    </chartFormat>
    <chartFormat chart="12" format="145">
      <pivotArea type="data" outline="0" fieldPosition="0">
        <references count="2">
          <reference field="4294967294" count="1" selected="0">
            <x v="0"/>
          </reference>
          <reference field="1" count="1" selected="0">
            <x v="29"/>
          </reference>
        </references>
      </pivotArea>
    </chartFormat>
    <chartFormat chart="12" format="146">
      <pivotArea type="data" outline="0" fieldPosition="0">
        <references count="2">
          <reference field="4294967294" count="1" selected="0">
            <x v="0"/>
          </reference>
          <reference field="1" count="1" selected="0">
            <x v="30"/>
          </reference>
        </references>
      </pivotArea>
    </chartFormat>
    <chartFormat chart="12" format="147">
      <pivotArea type="data" outline="0" fieldPosition="0">
        <references count="2">
          <reference field="4294967294" count="1" selected="0">
            <x v="0"/>
          </reference>
          <reference field="1" count="1" selected="0">
            <x v="31"/>
          </reference>
        </references>
      </pivotArea>
    </chartFormat>
    <chartFormat chart="12" format="148">
      <pivotArea type="data" outline="0" fieldPosition="0">
        <references count="2">
          <reference field="4294967294" count="1" selected="0">
            <x v="0"/>
          </reference>
          <reference field="1" count="1" selected="0">
            <x v="32"/>
          </reference>
        </references>
      </pivotArea>
    </chartFormat>
    <chartFormat chart="12" format="149">
      <pivotArea type="data" outline="0" fieldPosition="0">
        <references count="2">
          <reference field="4294967294" count="1" selected="0">
            <x v="0"/>
          </reference>
          <reference field="1" count="1" selected="0">
            <x v="33"/>
          </reference>
        </references>
      </pivotArea>
    </chartFormat>
    <chartFormat chart="12" format="150">
      <pivotArea type="data" outline="0" fieldPosition="0">
        <references count="2">
          <reference field="4294967294" count="1" selected="0">
            <x v="0"/>
          </reference>
          <reference field="1" count="1" selected="0">
            <x v="34"/>
          </reference>
        </references>
      </pivotArea>
    </chartFormat>
    <chartFormat chart="12" format="151">
      <pivotArea type="data" outline="0" fieldPosition="0">
        <references count="2">
          <reference field="4294967294" count="1" selected="0">
            <x v="0"/>
          </reference>
          <reference field="1" count="1" selected="0">
            <x v="35"/>
          </reference>
        </references>
      </pivotArea>
    </chartFormat>
    <chartFormat chart="12" format="152">
      <pivotArea type="data" outline="0" fieldPosition="0">
        <references count="2">
          <reference field="4294967294" count="1" selected="0">
            <x v="0"/>
          </reference>
          <reference field="1" count="1" selected="0">
            <x v="3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507BFCA-A837-47F3-8F59-E707B5AACF59}"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B41" firstHeaderRow="1" firstDataRow="1" firstDataCol="1" rowPageCount="1" colPageCount="1"/>
  <pivotFields count="8">
    <pivotField showAll="0"/>
    <pivotField axis="axisRow" showAll="0">
      <items count="38">
        <item x="1"/>
        <item x="2"/>
        <item x="3"/>
        <item x="4"/>
        <item x="5"/>
        <item x="6"/>
        <item x="7"/>
        <item x="8"/>
        <item x="9"/>
        <item x="10"/>
        <item x="11"/>
        <item x="12"/>
        <item x="13"/>
        <item x="0"/>
        <item x="14"/>
        <item x="15"/>
        <item x="16"/>
        <item x="17"/>
        <item x="18"/>
        <item x="19"/>
        <item x="20"/>
        <item x="21"/>
        <item x="22"/>
        <item x="23"/>
        <item x="24"/>
        <item x="25"/>
        <item x="26"/>
        <item x="27"/>
        <item x="28"/>
        <item x="29"/>
        <item x="30"/>
        <item x="31"/>
        <item x="32"/>
        <item x="33"/>
        <item x="34"/>
        <item x="35"/>
        <item x="36"/>
        <item t="default"/>
      </items>
    </pivotField>
    <pivotField showAll="0">
      <items count="38">
        <item x="19"/>
        <item x="18"/>
        <item x="1"/>
        <item x="30"/>
        <item x="8"/>
        <item x="6"/>
        <item x="24"/>
        <item x="27"/>
        <item x="10"/>
        <item x="3"/>
        <item x="25"/>
        <item x="22"/>
        <item x="33"/>
        <item x="23"/>
        <item x="13"/>
        <item x="14"/>
        <item x="35"/>
        <item x="9"/>
        <item x="28"/>
        <item x="12"/>
        <item x="17"/>
        <item x="32"/>
        <item x="7"/>
        <item x="4"/>
        <item x="26"/>
        <item x="2"/>
        <item x="15"/>
        <item x="16"/>
        <item x="31"/>
        <item x="11"/>
        <item x="36"/>
        <item x="29"/>
        <item x="20"/>
        <item x="21"/>
        <item x="5"/>
        <item x="34"/>
        <item x="0"/>
        <item t="default"/>
      </items>
    </pivotField>
    <pivotField showAll="0">
      <items count="38">
        <item x="19"/>
        <item x="18"/>
        <item x="1"/>
        <item x="30"/>
        <item x="8"/>
        <item x="6"/>
        <item x="27"/>
        <item x="24"/>
        <item x="10"/>
        <item x="3"/>
        <item x="25"/>
        <item x="22"/>
        <item x="33"/>
        <item x="23"/>
        <item x="13"/>
        <item x="35"/>
        <item x="14"/>
        <item x="9"/>
        <item x="28"/>
        <item x="12"/>
        <item x="17"/>
        <item x="32"/>
        <item x="7"/>
        <item x="4"/>
        <item x="2"/>
        <item x="26"/>
        <item x="15"/>
        <item x="16"/>
        <item x="31"/>
        <item x="11"/>
        <item x="36"/>
        <item x="29"/>
        <item x="20"/>
        <item x="21"/>
        <item x="5"/>
        <item x="34"/>
        <item x="0"/>
        <item t="default"/>
      </items>
    </pivotField>
    <pivotField showAll="0">
      <items count="38">
        <item x="19"/>
        <item x="18"/>
        <item x="1"/>
        <item x="8"/>
        <item x="30"/>
        <item x="6"/>
        <item x="27"/>
        <item x="10"/>
        <item x="24"/>
        <item x="3"/>
        <item x="25"/>
        <item x="22"/>
        <item x="33"/>
        <item x="23"/>
        <item x="13"/>
        <item x="35"/>
        <item x="14"/>
        <item x="9"/>
        <item x="28"/>
        <item x="12"/>
        <item x="17"/>
        <item x="7"/>
        <item x="32"/>
        <item x="4"/>
        <item x="2"/>
        <item x="26"/>
        <item x="15"/>
        <item x="16"/>
        <item x="31"/>
        <item x="11"/>
        <item x="29"/>
        <item x="20"/>
        <item x="36"/>
        <item x="21"/>
        <item x="5"/>
        <item x="34"/>
        <item x="0"/>
        <item t="default"/>
      </items>
    </pivotField>
    <pivotField showAll="0">
      <items count="38">
        <item x="19"/>
        <item x="18"/>
        <item x="1"/>
        <item x="8"/>
        <item x="30"/>
        <item x="6"/>
        <item x="27"/>
        <item x="10"/>
        <item x="24"/>
        <item x="3"/>
        <item x="25"/>
        <item x="22"/>
        <item x="23"/>
        <item x="33"/>
        <item x="13"/>
        <item x="35"/>
        <item x="14"/>
        <item x="9"/>
        <item x="28"/>
        <item x="12"/>
        <item x="17"/>
        <item x="7"/>
        <item x="32"/>
        <item x="4"/>
        <item x="26"/>
        <item x="2"/>
        <item x="15"/>
        <item x="16"/>
        <item x="11"/>
        <item x="31"/>
        <item x="29"/>
        <item x="20"/>
        <item x="36"/>
        <item x="21"/>
        <item x="5"/>
        <item x="34"/>
        <item x="0"/>
        <item t="default"/>
      </items>
    </pivotField>
    <pivotField dataField="1" showAll="0"/>
    <pivotField axis="axisPage" showAll="0">
      <items count="3">
        <item x="0"/>
        <item x="1"/>
        <item t="default"/>
      </items>
    </pivotField>
  </pivotFields>
  <rowFields count="1">
    <field x="1"/>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t="grand">
      <x/>
    </i>
  </rowItems>
  <colItems count="1">
    <i/>
  </colItems>
  <pageFields count="1">
    <pageField fld="7" hier="-1"/>
  </pageFields>
  <dataFields count="1">
    <dataField name="Sum of Overall - Girls - Population" fld="6" baseField="0" baseItem="0"/>
  </dataFields>
  <chartFormats count="116">
    <chartFormat chart="5" format="150" series="1">
      <pivotArea type="data" outline="0" fieldPosition="0">
        <references count="1">
          <reference field="4294967294" count="1" selected="0">
            <x v="0"/>
          </reference>
        </references>
      </pivotArea>
    </chartFormat>
    <chartFormat chart="7" format="39" series="1">
      <pivotArea type="data" outline="0" fieldPosition="0">
        <references count="1">
          <reference field="4294967294" count="1" selected="0">
            <x v="0"/>
          </reference>
        </references>
      </pivotArea>
    </chartFormat>
    <chartFormat chart="7" format="40">
      <pivotArea type="data" outline="0" fieldPosition="0">
        <references count="2">
          <reference field="4294967294" count="1" selected="0">
            <x v="0"/>
          </reference>
          <reference field="1" count="1" selected="0">
            <x v="0"/>
          </reference>
        </references>
      </pivotArea>
    </chartFormat>
    <chartFormat chart="7" format="41">
      <pivotArea type="data" outline="0" fieldPosition="0">
        <references count="2">
          <reference field="4294967294" count="1" selected="0">
            <x v="0"/>
          </reference>
          <reference field="1" count="1" selected="0">
            <x v="1"/>
          </reference>
        </references>
      </pivotArea>
    </chartFormat>
    <chartFormat chart="7" format="42">
      <pivotArea type="data" outline="0" fieldPosition="0">
        <references count="2">
          <reference field="4294967294" count="1" selected="0">
            <x v="0"/>
          </reference>
          <reference field="1" count="1" selected="0">
            <x v="2"/>
          </reference>
        </references>
      </pivotArea>
    </chartFormat>
    <chartFormat chart="7" format="43">
      <pivotArea type="data" outline="0" fieldPosition="0">
        <references count="2">
          <reference field="4294967294" count="1" selected="0">
            <x v="0"/>
          </reference>
          <reference field="1" count="1" selected="0">
            <x v="3"/>
          </reference>
        </references>
      </pivotArea>
    </chartFormat>
    <chartFormat chart="7" format="44">
      <pivotArea type="data" outline="0" fieldPosition="0">
        <references count="2">
          <reference field="4294967294" count="1" selected="0">
            <x v="0"/>
          </reference>
          <reference field="1" count="1" selected="0">
            <x v="4"/>
          </reference>
        </references>
      </pivotArea>
    </chartFormat>
    <chartFormat chart="7" format="45">
      <pivotArea type="data" outline="0" fieldPosition="0">
        <references count="2">
          <reference field="4294967294" count="1" selected="0">
            <x v="0"/>
          </reference>
          <reference field="1" count="1" selected="0">
            <x v="5"/>
          </reference>
        </references>
      </pivotArea>
    </chartFormat>
    <chartFormat chart="7" format="46">
      <pivotArea type="data" outline="0" fieldPosition="0">
        <references count="2">
          <reference field="4294967294" count="1" selected="0">
            <x v="0"/>
          </reference>
          <reference field="1" count="1" selected="0">
            <x v="6"/>
          </reference>
        </references>
      </pivotArea>
    </chartFormat>
    <chartFormat chart="7" format="47">
      <pivotArea type="data" outline="0" fieldPosition="0">
        <references count="2">
          <reference field="4294967294" count="1" selected="0">
            <x v="0"/>
          </reference>
          <reference field="1" count="1" selected="0">
            <x v="7"/>
          </reference>
        </references>
      </pivotArea>
    </chartFormat>
    <chartFormat chart="7" format="48">
      <pivotArea type="data" outline="0" fieldPosition="0">
        <references count="2">
          <reference field="4294967294" count="1" selected="0">
            <x v="0"/>
          </reference>
          <reference field="1" count="1" selected="0">
            <x v="8"/>
          </reference>
        </references>
      </pivotArea>
    </chartFormat>
    <chartFormat chart="7" format="49">
      <pivotArea type="data" outline="0" fieldPosition="0">
        <references count="2">
          <reference field="4294967294" count="1" selected="0">
            <x v="0"/>
          </reference>
          <reference field="1" count="1" selected="0">
            <x v="9"/>
          </reference>
        </references>
      </pivotArea>
    </chartFormat>
    <chartFormat chart="7" format="50">
      <pivotArea type="data" outline="0" fieldPosition="0">
        <references count="2">
          <reference field="4294967294" count="1" selected="0">
            <x v="0"/>
          </reference>
          <reference field="1" count="1" selected="0">
            <x v="10"/>
          </reference>
        </references>
      </pivotArea>
    </chartFormat>
    <chartFormat chart="7" format="51">
      <pivotArea type="data" outline="0" fieldPosition="0">
        <references count="2">
          <reference field="4294967294" count="1" selected="0">
            <x v="0"/>
          </reference>
          <reference field="1" count="1" selected="0">
            <x v="11"/>
          </reference>
        </references>
      </pivotArea>
    </chartFormat>
    <chartFormat chart="7" format="52">
      <pivotArea type="data" outline="0" fieldPosition="0">
        <references count="2">
          <reference field="4294967294" count="1" selected="0">
            <x v="0"/>
          </reference>
          <reference field="1" count="1" selected="0">
            <x v="12"/>
          </reference>
        </references>
      </pivotArea>
    </chartFormat>
    <chartFormat chart="7" format="53">
      <pivotArea type="data" outline="0" fieldPosition="0">
        <references count="2">
          <reference field="4294967294" count="1" selected="0">
            <x v="0"/>
          </reference>
          <reference field="1" count="1" selected="0">
            <x v="13"/>
          </reference>
        </references>
      </pivotArea>
    </chartFormat>
    <chartFormat chart="7" format="54">
      <pivotArea type="data" outline="0" fieldPosition="0">
        <references count="2">
          <reference field="4294967294" count="1" selected="0">
            <x v="0"/>
          </reference>
          <reference field="1" count="1" selected="0">
            <x v="14"/>
          </reference>
        </references>
      </pivotArea>
    </chartFormat>
    <chartFormat chart="7" format="55">
      <pivotArea type="data" outline="0" fieldPosition="0">
        <references count="2">
          <reference field="4294967294" count="1" selected="0">
            <x v="0"/>
          </reference>
          <reference field="1" count="1" selected="0">
            <x v="15"/>
          </reference>
        </references>
      </pivotArea>
    </chartFormat>
    <chartFormat chart="7" format="56">
      <pivotArea type="data" outline="0" fieldPosition="0">
        <references count="2">
          <reference field="4294967294" count="1" selected="0">
            <x v="0"/>
          </reference>
          <reference field="1" count="1" selected="0">
            <x v="16"/>
          </reference>
        </references>
      </pivotArea>
    </chartFormat>
    <chartFormat chart="7" format="57">
      <pivotArea type="data" outline="0" fieldPosition="0">
        <references count="2">
          <reference field="4294967294" count="1" selected="0">
            <x v="0"/>
          </reference>
          <reference field="1" count="1" selected="0">
            <x v="17"/>
          </reference>
        </references>
      </pivotArea>
    </chartFormat>
    <chartFormat chart="7" format="58">
      <pivotArea type="data" outline="0" fieldPosition="0">
        <references count="2">
          <reference field="4294967294" count="1" selected="0">
            <x v="0"/>
          </reference>
          <reference field="1" count="1" selected="0">
            <x v="18"/>
          </reference>
        </references>
      </pivotArea>
    </chartFormat>
    <chartFormat chart="7" format="59">
      <pivotArea type="data" outline="0" fieldPosition="0">
        <references count="2">
          <reference field="4294967294" count="1" selected="0">
            <x v="0"/>
          </reference>
          <reference field="1" count="1" selected="0">
            <x v="19"/>
          </reference>
        </references>
      </pivotArea>
    </chartFormat>
    <chartFormat chart="7" format="60">
      <pivotArea type="data" outline="0" fieldPosition="0">
        <references count="2">
          <reference field="4294967294" count="1" selected="0">
            <x v="0"/>
          </reference>
          <reference field="1" count="1" selected="0">
            <x v="20"/>
          </reference>
        </references>
      </pivotArea>
    </chartFormat>
    <chartFormat chart="7" format="61">
      <pivotArea type="data" outline="0" fieldPosition="0">
        <references count="2">
          <reference field="4294967294" count="1" selected="0">
            <x v="0"/>
          </reference>
          <reference field="1" count="1" selected="0">
            <x v="21"/>
          </reference>
        </references>
      </pivotArea>
    </chartFormat>
    <chartFormat chart="7" format="62">
      <pivotArea type="data" outline="0" fieldPosition="0">
        <references count="2">
          <reference field="4294967294" count="1" selected="0">
            <x v="0"/>
          </reference>
          <reference field="1" count="1" selected="0">
            <x v="22"/>
          </reference>
        </references>
      </pivotArea>
    </chartFormat>
    <chartFormat chart="7" format="63">
      <pivotArea type="data" outline="0" fieldPosition="0">
        <references count="2">
          <reference field="4294967294" count="1" selected="0">
            <x v="0"/>
          </reference>
          <reference field="1" count="1" selected="0">
            <x v="23"/>
          </reference>
        </references>
      </pivotArea>
    </chartFormat>
    <chartFormat chart="7" format="64">
      <pivotArea type="data" outline="0" fieldPosition="0">
        <references count="2">
          <reference field="4294967294" count="1" selected="0">
            <x v="0"/>
          </reference>
          <reference field="1" count="1" selected="0">
            <x v="24"/>
          </reference>
        </references>
      </pivotArea>
    </chartFormat>
    <chartFormat chart="7" format="65">
      <pivotArea type="data" outline="0" fieldPosition="0">
        <references count="2">
          <reference field="4294967294" count="1" selected="0">
            <x v="0"/>
          </reference>
          <reference field="1" count="1" selected="0">
            <x v="25"/>
          </reference>
        </references>
      </pivotArea>
    </chartFormat>
    <chartFormat chart="7" format="66">
      <pivotArea type="data" outline="0" fieldPosition="0">
        <references count="2">
          <reference field="4294967294" count="1" selected="0">
            <x v="0"/>
          </reference>
          <reference field="1" count="1" selected="0">
            <x v="26"/>
          </reference>
        </references>
      </pivotArea>
    </chartFormat>
    <chartFormat chart="7" format="67">
      <pivotArea type="data" outline="0" fieldPosition="0">
        <references count="2">
          <reference field="4294967294" count="1" selected="0">
            <x v="0"/>
          </reference>
          <reference field="1" count="1" selected="0">
            <x v="27"/>
          </reference>
        </references>
      </pivotArea>
    </chartFormat>
    <chartFormat chart="7" format="68">
      <pivotArea type="data" outline="0" fieldPosition="0">
        <references count="2">
          <reference field="4294967294" count="1" selected="0">
            <x v="0"/>
          </reference>
          <reference field="1" count="1" selected="0">
            <x v="28"/>
          </reference>
        </references>
      </pivotArea>
    </chartFormat>
    <chartFormat chart="7" format="69">
      <pivotArea type="data" outline="0" fieldPosition="0">
        <references count="2">
          <reference field="4294967294" count="1" selected="0">
            <x v="0"/>
          </reference>
          <reference field="1" count="1" selected="0">
            <x v="29"/>
          </reference>
        </references>
      </pivotArea>
    </chartFormat>
    <chartFormat chart="7" format="70">
      <pivotArea type="data" outline="0" fieldPosition="0">
        <references count="2">
          <reference field="4294967294" count="1" selected="0">
            <x v="0"/>
          </reference>
          <reference field="1" count="1" selected="0">
            <x v="30"/>
          </reference>
        </references>
      </pivotArea>
    </chartFormat>
    <chartFormat chart="7" format="71">
      <pivotArea type="data" outline="0" fieldPosition="0">
        <references count="2">
          <reference field="4294967294" count="1" selected="0">
            <x v="0"/>
          </reference>
          <reference field="1" count="1" selected="0">
            <x v="31"/>
          </reference>
        </references>
      </pivotArea>
    </chartFormat>
    <chartFormat chart="7" format="72">
      <pivotArea type="data" outline="0" fieldPosition="0">
        <references count="2">
          <reference field="4294967294" count="1" selected="0">
            <x v="0"/>
          </reference>
          <reference field="1" count="1" selected="0">
            <x v="32"/>
          </reference>
        </references>
      </pivotArea>
    </chartFormat>
    <chartFormat chart="7" format="73">
      <pivotArea type="data" outline="0" fieldPosition="0">
        <references count="2">
          <reference field="4294967294" count="1" selected="0">
            <x v="0"/>
          </reference>
          <reference field="1" count="1" selected="0">
            <x v="33"/>
          </reference>
        </references>
      </pivotArea>
    </chartFormat>
    <chartFormat chart="7" format="74">
      <pivotArea type="data" outline="0" fieldPosition="0">
        <references count="2">
          <reference field="4294967294" count="1" selected="0">
            <x v="0"/>
          </reference>
          <reference field="1" count="1" selected="0">
            <x v="34"/>
          </reference>
        </references>
      </pivotArea>
    </chartFormat>
    <chartFormat chart="7" format="75">
      <pivotArea type="data" outline="0" fieldPosition="0">
        <references count="2">
          <reference field="4294967294" count="1" selected="0">
            <x v="0"/>
          </reference>
          <reference field="1" count="1" selected="0">
            <x v="35"/>
          </reference>
        </references>
      </pivotArea>
    </chartFormat>
    <chartFormat chart="7" format="76">
      <pivotArea type="data" outline="0" fieldPosition="0">
        <references count="2">
          <reference field="4294967294" count="1" selected="0">
            <x v="0"/>
          </reference>
          <reference field="1" count="1" selected="0">
            <x v="36"/>
          </reference>
        </references>
      </pivotArea>
    </chartFormat>
    <chartFormat chart="9" format="152" series="1">
      <pivotArea type="data" outline="0" fieldPosition="0">
        <references count="1">
          <reference field="4294967294" count="1" selected="0">
            <x v="0"/>
          </reference>
        </references>
      </pivotArea>
    </chartFormat>
    <chartFormat chart="10" format="77" series="1">
      <pivotArea type="data" outline="0" fieldPosition="0">
        <references count="1">
          <reference field="4294967294" count="1" selected="0">
            <x v="0"/>
          </reference>
        </references>
      </pivotArea>
    </chartFormat>
    <chartFormat chart="10" format="78">
      <pivotArea type="data" outline="0" fieldPosition="0">
        <references count="2">
          <reference field="4294967294" count="1" selected="0">
            <x v="0"/>
          </reference>
          <reference field="1" count="1" selected="0">
            <x v="0"/>
          </reference>
        </references>
      </pivotArea>
    </chartFormat>
    <chartFormat chart="10" format="79">
      <pivotArea type="data" outline="0" fieldPosition="0">
        <references count="2">
          <reference field="4294967294" count="1" selected="0">
            <x v="0"/>
          </reference>
          <reference field="1" count="1" selected="0">
            <x v="1"/>
          </reference>
        </references>
      </pivotArea>
    </chartFormat>
    <chartFormat chart="10" format="80">
      <pivotArea type="data" outline="0" fieldPosition="0">
        <references count="2">
          <reference field="4294967294" count="1" selected="0">
            <x v="0"/>
          </reference>
          <reference field="1" count="1" selected="0">
            <x v="2"/>
          </reference>
        </references>
      </pivotArea>
    </chartFormat>
    <chartFormat chart="10" format="81">
      <pivotArea type="data" outline="0" fieldPosition="0">
        <references count="2">
          <reference field="4294967294" count="1" selected="0">
            <x v="0"/>
          </reference>
          <reference field="1" count="1" selected="0">
            <x v="3"/>
          </reference>
        </references>
      </pivotArea>
    </chartFormat>
    <chartFormat chart="10" format="82">
      <pivotArea type="data" outline="0" fieldPosition="0">
        <references count="2">
          <reference field="4294967294" count="1" selected="0">
            <x v="0"/>
          </reference>
          <reference field="1" count="1" selected="0">
            <x v="4"/>
          </reference>
        </references>
      </pivotArea>
    </chartFormat>
    <chartFormat chart="10" format="83">
      <pivotArea type="data" outline="0" fieldPosition="0">
        <references count="2">
          <reference field="4294967294" count="1" selected="0">
            <x v="0"/>
          </reference>
          <reference field="1" count="1" selected="0">
            <x v="5"/>
          </reference>
        </references>
      </pivotArea>
    </chartFormat>
    <chartFormat chart="10" format="84">
      <pivotArea type="data" outline="0" fieldPosition="0">
        <references count="2">
          <reference field="4294967294" count="1" selected="0">
            <x v="0"/>
          </reference>
          <reference field="1" count="1" selected="0">
            <x v="6"/>
          </reference>
        </references>
      </pivotArea>
    </chartFormat>
    <chartFormat chart="10" format="85">
      <pivotArea type="data" outline="0" fieldPosition="0">
        <references count="2">
          <reference field="4294967294" count="1" selected="0">
            <x v="0"/>
          </reference>
          <reference field="1" count="1" selected="0">
            <x v="7"/>
          </reference>
        </references>
      </pivotArea>
    </chartFormat>
    <chartFormat chart="10" format="86">
      <pivotArea type="data" outline="0" fieldPosition="0">
        <references count="2">
          <reference field="4294967294" count="1" selected="0">
            <x v="0"/>
          </reference>
          <reference field="1" count="1" selected="0">
            <x v="8"/>
          </reference>
        </references>
      </pivotArea>
    </chartFormat>
    <chartFormat chart="10" format="87">
      <pivotArea type="data" outline="0" fieldPosition="0">
        <references count="2">
          <reference field="4294967294" count="1" selected="0">
            <x v="0"/>
          </reference>
          <reference field="1" count="1" selected="0">
            <x v="9"/>
          </reference>
        </references>
      </pivotArea>
    </chartFormat>
    <chartFormat chart="10" format="88">
      <pivotArea type="data" outline="0" fieldPosition="0">
        <references count="2">
          <reference field="4294967294" count="1" selected="0">
            <x v="0"/>
          </reference>
          <reference field="1" count="1" selected="0">
            <x v="10"/>
          </reference>
        </references>
      </pivotArea>
    </chartFormat>
    <chartFormat chart="10" format="89">
      <pivotArea type="data" outline="0" fieldPosition="0">
        <references count="2">
          <reference field="4294967294" count="1" selected="0">
            <x v="0"/>
          </reference>
          <reference field="1" count="1" selected="0">
            <x v="11"/>
          </reference>
        </references>
      </pivotArea>
    </chartFormat>
    <chartFormat chart="10" format="90">
      <pivotArea type="data" outline="0" fieldPosition="0">
        <references count="2">
          <reference field="4294967294" count="1" selected="0">
            <x v="0"/>
          </reference>
          <reference field="1" count="1" selected="0">
            <x v="12"/>
          </reference>
        </references>
      </pivotArea>
    </chartFormat>
    <chartFormat chart="10" format="91">
      <pivotArea type="data" outline="0" fieldPosition="0">
        <references count="2">
          <reference field="4294967294" count="1" selected="0">
            <x v="0"/>
          </reference>
          <reference field="1" count="1" selected="0">
            <x v="13"/>
          </reference>
        </references>
      </pivotArea>
    </chartFormat>
    <chartFormat chart="10" format="92">
      <pivotArea type="data" outline="0" fieldPosition="0">
        <references count="2">
          <reference field="4294967294" count="1" selected="0">
            <x v="0"/>
          </reference>
          <reference field="1" count="1" selected="0">
            <x v="14"/>
          </reference>
        </references>
      </pivotArea>
    </chartFormat>
    <chartFormat chart="10" format="93">
      <pivotArea type="data" outline="0" fieldPosition="0">
        <references count="2">
          <reference field="4294967294" count="1" selected="0">
            <x v="0"/>
          </reference>
          <reference field="1" count="1" selected="0">
            <x v="15"/>
          </reference>
        </references>
      </pivotArea>
    </chartFormat>
    <chartFormat chart="10" format="94">
      <pivotArea type="data" outline="0" fieldPosition="0">
        <references count="2">
          <reference field="4294967294" count="1" selected="0">
            <x v="0"/>
          </reference>
          <reference field="1" count="1" selected="0">
            <x v="16"/>
          </reference>
        </references>
      </pivotArea>
    </chartFormat>
    <chartFormat chart="10" format="95">
      <pivotArea type="data" outline="0" fieldPosition="0">
        <references count="2">
          <reference field="4294967294" count="1" selected="0">
            <x v="0"/>
          </reference>
          <reference field="1" count="1" selected="0">
            <x v="17"/>
          </reference>
        </references>
      </pivotArea>
    </chartFormat>
    <chartFormat chart="10" format="96">
      <pivotArea type="data" outline="0" fieldPosition="0">
        <references count="2">
          <reference field="4294967294" count="1" selected="0">
            <x v="0"/>
          </reference>
          <reference field="1" count="1" selected="0">
            <x v="18"/>
          </reference>
        </references>
      </pivotArea>
    </chartFormat>
    <chartFormat chart="10" format="97">
      <pivotArea type="data" outline="0" fieldPosition="0">
        <references count="2">
          <reference field="4294967294" count="1" selected="0">
            <x v="0"/>
          </reference>
          <reference field="1" count="1" selected="0">
            <x v="19"/>
          </reference>
        </references>
      </pivotArea>
    </chartFormat>
    <chartFormat chart="10" format="98">
      <pivotArea type="data" outline="0" fieldPosition="0">
        <references count="2">
          <reference field="4294967294" count="1" selected="0">
            <x v="0"/>
          </reference>
          <reference field="1" count="1" selected="0">
            <x v="20"/>
          </reference>
        </references>
      </pivotArea>
    </chartFormat>
    <chartFormat chart="10" format="99">
      <pivotArea type="data" outline="0" fieldPosition="0">
        <references count="2">
          <reference field="4294967294" count="1" selected="0">
            <x v="0"/>
          </reference>
          <reference field="1" count="1" selected="0">
            <x v="21"/>
          </reference>
        </references>
      </pivotArea>
    </chartFormat>
    <chartFormat chart="10" format="100">
      <pivotArea type="data" outline="0" fieldPosition="0">
        <references count="2">
          <reference field="4294967294" count="1" selected="0">
            <x v="0"/>
          </reference>
          <reference field="1" count="1" selected="0">
            <x v="22"/>
          </reference>
        </references>
      </pivotArea>
    </chartFormat>
    <chartFormat chart="10" format="101">
      <pivotArea type="data" outline="0" fieldPosition="0">
        <references count="2">
          <reference field="4294967294" count="1" selected="0">
            <x v="0"/>
          </reference>
          <reference field="1" count="1" selected="0">
            <x v="23"/>
          </reference>
        </references>
      </pivotArea>
    </chartFormat>
    <chartFormat chart="10" format="102">
      <pivotArea type="data" outline="0" fieldPosition="0">
        <references count="2">
          <reference field="4294967294" count="1" selected="0">
            <x v="0"/>
          </reference>
          <reference field="1" count="1" selected="0">
            <x v="24"/>
          </reference>
        </references>
      </pivotArea>
    </chartFormat>
    <chartFormat chart="10" format="103">
      <pivotArea type="data" outline="0" fieldPosition="0">
        <references count="2">
          <reference field="4294967294" count="1" selected="0">
            <x v="0"/>
          </reference>
          <reference field="1" count="1" selected="0">
            <x v="25"/>
          </reference>
        </references>
      </pivotArea>
    </chartFormat>
    <chartFormat chart="10" format="104">
      <pivotArea type="data" outline="0" fieldPosition="0">
        <references count="2">
          <reference field="4294967294" count="1" selected="0">
            <x v="0"/>
          </reference>
          <reference field="1" count="1" selected="0">
            <x v="26"/>
          </reference>
        </references>
      </pivotArea>
    </chartFormat>
    <chartFormat chart="10" format="105">
      <pivotArea type="data" outline="0" fieldPosition="0">
        <references count="2">
          <reference field="4294967294" count="1" selected="0">
            <x v="0"/>
          </reference>
          <reference field="1" count="1" selected="0">
            <x v="27"/>
          </reference>
        </references>
      </pivotArea>
    </chartFormat>
    <chartFormat chart="10" format="106">
      <pivotArea type="data" outline="0" fieldPosition="0">
        <references count="2">
          <reference field="4294967294" count="1" selected="0">
            <x v="0"/>
          </reference>
          <reference field="1" count="1" selected="0">
            <x v="28"/>
          </reference>
        </references>
      </pivotArea>
    </chartFormat>
    <chartFormat chart="10" format="107">
      <pivotArea type="data" outline="0" fieldPosition="0">
        <references count="2">
          <reference field="4294967294" count="1" selected="0">
            <x v="0"/>
          </reference>
          <reference field="1" count="1" selected="0">
            <x v="29"/>
          </reference>
        </references>
      </pivotArea>
    </chartFormat>
    <chartFormat chart="10" format="108">
      <pivotArea type="data" outline="0" fieldPosition="0">
        <references count="2">
          <reference field="4294967294" count="1" selected="0">
            <x v="0"/>
          </reference>
          <reference field="1" count="1" selected="0">
            <x v="30"/>
          </reference>
        </references>
      </pivotArea>
    </chartFormat>
    <chartFormat chart="10" format="109">
      <pivotArea type="data" outline="0" fieldPosition="0">
        <references count="2">
          <reference field="4294967294" count="1" selected="0">
            <x v="0"/>
          </reference>
          <reference field="1" count="1" selected="0">
            <x v="31"/>
          </reference>
        </references>
      </pivotArea>
    </chartFormat>
    <chartFormat chart="10" format="110">
      <pivotArea type="data" outline="0" fieldPosition="0">
        <references count="2">
          <reference field="4294967294" count="1" selected="0">
            <x v="0"/>
          </reference>
          <reference field="1" count="1" selected="0">
            <x v="32"/>
          </reference>
        </references>
      </pivotArea>
    </chartFormat>
    <chartFormat chart="10" format="111">
      <pivotArea type="data" outline="0" fieldPosition="0">
        <references count="2">
          <reference field="4294967294" count="1" selected="0">
            <x v="0"/>
          </reference>
          <reference field="1" count="1" selected="0">
            <x v="33"/>
          </reference>
        </references>
      </pivotArea>
    </chartFormat>
    <chartFormat chart="10" format="112">
      <pivotArea type="data" outline="0" fieldPosition="0">
        <references count="2">
          <reference field="4294967294" count="1" selected="0">
            <x v="0"/>
          </reference>
          <reference field="1" count="1" selected="0">
            <x v="34"/>
          </reference>
        </references>
      </pivotArea>
    </chartFormat>
    <chartFormat chart="10" format="113">
      <pivotArea type="data" outline="0" fieldPosition="0">
        <references count="2">
          <reference field="4294967294" count="1" selected="0">
            <x v="0"/>
          </reference>
          <reference field="1" count="1" selected="0">
            <x v="35"/>
          </reference>
        </references>
      </pivotArea>
    </chartFormat>
    <chartFormat chart="10" format="114">
      <pivotArea type="data" outline="0" fieldPosition="0">
        <references count="2">
          <reference field="4294967294" count="1" selected="0">
            <x v="0"/>
          </reference>
          <reference field="1" count="1" selected="0">
            <x v="36"/>
          </reference>
        </references>
      </pivotArea>
    </chartFormat>
    <chartFormat chart="11" format="115" series="1">
      <pivotArea type="data" outline="0" fieldPosition="0">
        <references count="1">
          <reference field="4294967294" count="1" selected="0">
            <x v="0"/>
          </reference>
        </references>
      </pivotArea>
    </chartFormat>
    <chartFormat chart="11" format="116">
      <pivotArea type="data" outline="0" fieldPosition="0">
        <references count="2">
          <reference field="4294967294" count="1" selected="0">
            <x v="0"/>
          </reference>
          <reference field="1" count="1" selected="0">
            <x v="0"/>
          </reference>
        </references>
      </pivotArea>
    </chartFormat>
    <chartFormat chart="11" format="117">
      <pivotArea type="data" outline="0" fieldPosition="0">
        <references count="2">
          <reference field="4294967294" count="1" selected="0">
            <x v="0"/>
          </reference>
          <reference field="1" count="1" selected="0">
            <x v="1"/>
          </reference>
        </references>
      </pivotArea>
    </chartFormat>
    <chartFormat chart="11" format="118">
      <pivotArea type="data" outline="0" fieldPosition="0">
        <references count="2">
          <reference field="4294967294" count="1" selected="0">
            <x v="0"/>
          </reference>
          <reference field="1" count="1" selected="0">
            <x v="2"/>
          </reference>
        </references>
      </pivotArea>
    </chartFormat>
    <chartFormat chart="11" format="119">
      <pivotArea type="data" outline="0" fieldPosition="0">
        <references count="2">
          <reference field="4294967294" count="1" selected="0">
            <x v="0"/>
          </reference>
          <reference field="1" count="1" selected="0">
            <x v="3"/>
          </reference>
        </references>
      </pivotArea>
    </chartFormat>
    <chartFormat chart="11" format="120">
      <pivotArea type="data" outline="0" fieldPosition="0">
        <references count="2">
          <reference field="4294967294" count="1" selected="0">
            <x v="0"/>
          </reference>
          <reference field="1" count="1" selected="0">
            <x v="4"/>
          </reference>
        </references>
      </pivotArea>
    </chartFormat>
    <chartFormat chart="11" format="121">
      <pivotArea type="data" outline="0" fieldPosition="0">
        <references count="2">
          <reference field="4294967294" count="1" selected="0">
            <x v="0"/>
          </reference>
          <reference field="1" count="1" selected="0">
            <x v="5"/>
          </reference>
        </references>
      </pivotArea>
    </chartFormat>
    <chartFormat chart="11" format="122">
      <pivotArea type="data" outline="0" fieldPosition="0">
        <references count="2">
          <reference field="4294967294" count="1" selected="0">
            <x v="0"/>
          </reference>
          <reference field="1" count="1" selected="0">
            <x v="6"/>
          </reference>
        </references>
      </pivotArea>
    </chartFormat>
    <chartFormat chart="11" format="123">
      <pivotArea type="data" outline="0" fieldPosition="0">
        <references count="2">
          <reference field="4294967294" count="1" selected="0">
            <x v="0"/>
          </reference>
          <reference field="1" count="1" selected="0">
            <x v="7"/>
          </reference>
        </references>
      </pivotArea>
    </chartFormat>
    <chartFormat chart="11" format="124">
      <pivotArea type="data" outline="0" fieldPosition="0">
        <references count="2">
          <reference field="4294967294" count="1" selected="0">
            <x v="0"/>
          </reference>
          <reference field="1" count="1" selected="0">
            <x v="8"/>
          </reference>
        </references>
      </pivotArea>
    </chartFormat>
    <chartFormat chart="11" format="125">
      <pivotArea type="data" outline="0" fieldPosition="0">
        <references count="2">
          <reference field="4294967294" count="1" selected="0">
            <x v="0"/>
          </reference>
          <reference field="1" count="1" selected="0">
            <x v="9"/>
          </reference>
        </references>
      </pivotArea>
    </chartFormat>
    <chartFormat chart="11" format="126">
      <pivotArea type="data" outline="0" fieldPosition="0">
        <references count="2">
          <reference field="4294967294" count="1" selected="0">
            <x v="0"/>
          </reference>
          <reference field="1" count="1" selected="0">
            <x v="10"/>
          </reference>
        </references>
      </pivotArea>
    </chartFormat>
    <chartFormat chart="11" format="127">
      <pivotArea type="data" outline="0" fieldPosition="0">
        <references count="2">
          <reference field="4294967294" count="1" selected="0">
            <x v="0"/>
          </reference>
          <reference field="1" count="1" selected="0">
            <x v="11"/>
          </reference>
        </references>
      </pivotArea>
    </chartFormat>
    <chartFormat chart="11" format="128">
      <pivotArea type="data" outline="0" fieldPosition="0">
        <references count="2">
          <reference field="4294967294" count="1" selected="0">
            <x v="0"/>
          </reference>
          <reference field="1" count="1" selected="0">
            <x v="12"/>
          </reference>
        </references>
      </pivotArea>
    </chartFormat>
    <chartFormat chart="11" format="129">
      <pivotArea type="data" outline="0" fieldPosition="0">
        <references count="2">
          <reference field="4294967294" count="1" selected="0">
            <x v="0"/>
          </reference>
          <reference field="1" count="1" selected="0">
            <x v="13"/>
          </reference>
        </references>
      </pivotArea>
    </chartFormat>
    <chartFormat chart="11" format="130">
      <pivotArea type="data" outline="0" fieldPosition="0">
        <references count="2">
          <reference field="4294967294" count="1" selected="0">
            <x v="0"/>
          </reference>
          <reference field="1" count="1" selected="0">
            <x v="14"/>
          </reference>
        </references>
      </pivotArea>
    </chartFormat>
    <chartFormat chart="11" format="131">
      <pivotArea type="data" outline="0" fieldPosition="0">
        <references count="2">
          <reference field="4294967294" count="1" selected="0">
            <x v="0"/>
          </reference>
          <reference field="1" count="1" selected="0">
            <x v="15"/>
          </reference>
        </references>
      </pivotArea>
    </chartFormat>
    <chartFormat chart="11" format="132">
      <pivotArea type="data" outline="0" fieldPosition="0">
        <references count="2">
          <reference field="4294967294" count="1" selected="0">
            <x v="0"/>
          </reference>
          <reference field="1" count="1" selected="0">
            <x v="16"/>
          </reference>
        </references>
      </pivotArea>
    </chartFormat>
    <chartFormat chart="11" format="133">
      <pivotArea type="data" outline="0" fieldPosition="0">
        <references count="2">
          <reference field="4294967294" count="1" selected="0">
            <x v="0"/>
          </reference>
          <reference field="1" count="1" selected="0">
            <x v="17"/>
          </reference>
        </references>
      </pivotArea>
    </chartFormat>
    <chartFormat chart="11" format="134">
      <pivotArea type="data" outline="0" fieldPosition="0">
        <references count="2">
          <reference field="4294967294" count="1" selected="0">
            <x v="0"/>
          </reference>
          <reference field="1" count="1" selected="0">
            <x v="18"/>
          </reference>
        </references>
      </pivotArea>
    </chartFormat>
    <chartFormat chart="11" format="135">
      <pivotArea type="data" outline="0" fieldPosition="0">
        <references count="2">
          <reference field="4294967294" count="1" selected="0">
            <x v="0"/>
          </reference>
          <reference field="1" count="1" selected="0">
            <x v="19"/>
          </reference>
        </references>
      </pivotArea>
    </chartFormat>
    <chartFormat chart="11" format="136">
      <pivotArea type="data" outline="0" fieldPosition="0">
        <references count="2">
          <reference field="4294967294" count="1" selected="0">
            <x v="0"/>
          </reference>
          <reference field="1" count="1" selected="0">
            <x v="20"/>
          </reference>
        </references>
      </pivotArea>
    </chartFormat>
    <chartFormat chart="11" format="137">
      <pivotArea type="data" outline="0" fieldPosition="0">
        <references count="2">
          <reference field="4294967294" count="1" selected="0">
            <x v="0"/>
          </reference>
          <reference field="1" count="1" selected="0">
            <x v="21"/>
          </reference>
        </references>
      </pivotArea>
    </chartFormat>
    <chartFormat chart="11" format="138">
      <pivotArea type="data" outline="0" fieldPosition="0">
        <references count="2">
          <reference field="4294967294" count="1" selected="0">
            <x v="0"/>
          </reference>
          <reference field="1" count="1" selected="0">
            <x v="22"/>
          </reference>
        </references>
      </pivotArea>
    </chartFormat>
    <chartFormat chart="11" format="139">
      <pivotArea type="data" outline="0" fieldPosition="0">
        <references count="2">
          <reference field="4294967294" count="1" selected="0">
            <x v="0"/>
          </reference>
          <reference field="1" count="1" selected="0">
            <x v="23"/>
          </reference>
        </references>
      </pivotArea>
    </chartFormat>
    <chartFormat chart="11" format="140">
      <pivotArea type="data" outline="0" fieldPosition="0">
        <references count="2">
          <reference field="4294967294" count="1" selected="0">
            <x v="0"/>
          </reference>
          <reference field="1" count="1" selected="0">
            <x v="24"/>
          </reference>
        </references>
      </pivotArea>
    </chartFormat>
    <chartFormat chart="11" format="141">
      <pivotArea type="data" outline="0" fieldPosition="0">
        <references count="2">
          <reference field="4294967294" count="1" selected="0">
            <x v="0"/>
          </reference>
          <reference field="1" count="1" selected="0">
            <x v="25"/>
          </reference>
        </references>
      </pivotArea>
    </chartFormat>
    <chartFormat chart="11" format="142">
      <pivotArea type="data" outline="0" fieldPosition="0">
        <references count="2">
          <reference field="4294967294" count="1" selected="0">
            <x v="0"/>
          </reference>
          <reference field="1" count="1" selected="0">
            <x v="26"/>
          </reference>
        </references>
      </pivotArea>
    </chartFormat>
    <chartFormat chart="11" format="143">
      <pivotArea type="data" outline="0" fieldPosition="0">
        <references count="2">
          <reference field="4294967294" count="1" selected="0">
            <x v="0"/>
          </reference>
          <reference field="1" count="1" selected="0">
            <x v="27"/>
          </reference>
        </references>
      </pivotArea>
    </chartFormat>
    <chartFormat chart="11" format="144">
      <pivotArea type="data" outline="0" fieldPosition="0">
        <references count="2">
          <reference field="4294967294" count="1" selected="0">
            <x v="0"/>
          </reference>
          <reference field="1" count="1" selected="0">
            <x v="28"/>
          </reference>
        </references>
      </pivotArea>
    </chartFormat>
    <chartFormat chart="11" format="145">
      <pivotArea type="data" outline="0" fieldPosition="0">
        <references count="2">
          <reference field="4294967294" count="1" selected="0">
            <x v="0"/>
          </reference>
          <reference field="1" count="1" selected="0">
            <x v="29"/>
          </reference>
        </references>
      </pivotArea>
    </chartFormat>
    <chartFormat chart="11" format="146">
      <pivotArea type="data" outline="0" fieldPosition="0">
        <references count="2">
          <reference field="4294967294" count="1" selected="0">
            <x v="0"/>
          </reference>
          <reference field="1" count="1" selected="0">
            <x v="30"/>
          </reference>
        </references>
      </pivotArea>
    </chartFormat>
    <chartFormat chart="11" format="147">
      <pivotArea type="data" outline="0" fieldPosition="0">
        <references count="2">
          <reference field="4294967294" count="1" selected="0">
            <x v="0"/>
          </reference>
          <reference field="1" count="1" selected="0">
            <x v="31"/>
          </reference>
        </references>
      </pivotArea>
    </chartFormat>
    <chartFormat chart="11" format="148">
      <pivotArea type="data" outline="0" fieldPosition="0">
        <references count="2">
          <reference field="4294967294" count="1" selected="0">
            <x v="0"/>
          </reference>
          <reference field="1" count="1" selected="0">
            <x v="32"/>
          </reference>
        </references>
      </pivotArea>
    </chartFormat>
    <chartFormat chart="11" format="149">
      <pivotArea type="data" outline="0" fieldPosition="0">
        <references count="2">
          <reference field="4294967294" count="1" selected="0">
            <x v="0"/>
          </reference>
          <reference field="1" count="1" selected="0">
            <x v="33"/>
          </reference>
        </references>
      </pivotArea>
    </chartFormat>
    <chartFormat chart="11" format="150">
      <pivotArea type="data" outline="0" fieldPosition="0">
        <references count="2">
          <reference field="4294967294" count="1" selected="0">
            <x v="0"/>
          </reference>
          <reference field="1" count="1" selected="0">
            <x v="34"/>
          </reference>
        </references>
      </pivotArea>
    </chartFormat>
    <chartFormat chart="11" format="151">
      <pivotArea type="data" outline="0" fieldPosition="0">
        <references count="2">
          <reference field="4294967294" count="1" selected="0">
            <x v="0"/>
          </reference>
          <reference field="1" count="1" selected="0">
            <x v="35"/>
          </reference>
        </references>
      </pivotArea>
    </chartFormat>
    <chartFormat chart="11" format="152">
      <pivotArea type="data" outline="0" fieldPosition="0">
        <references count="2">
          <reference field="4294967294" count="1" selected="0">
            <x v="0"/>
          </reference>
          <reference field="1" count="1" selected="0">
            <x v="3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010C3B3-F809-4338-8D90-02C02D423E59}"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B6:C12" firstHeaderRow="1" firstDataRow="1" firstDataCol="1" rowPageCount="2" colPageCount="1"/>
  <pivotFields count="4">
    <pivotField axis="axisRow" showAll="0">
      <items count="6">
        <item x="1"/>
        <item x="3"/>
        <item x="2"/>
        <item x="4"/>
        <item x="0"/>
        <item t="default"/>
      </items>
    </pivotField>
    <pivotField dataField="1" numFmtId="3" showAll="0"/>
    <pivotField axis="axisPage" numFmtId="3" showAll="0">
      <items count="6">
        <item x="4"/>
        <item x="1"/>
        <item x="3"/>
        <item x="2"/>
        <item x="0"/>
        <item t="default"/>
      </items>
    </pivotField>
    <pivotField axis="axisPage" numFmtId="3" showAll="0">
      <items count="6">
        <item x="4"/>
        <item x="1"/>
        <item x="3"/>
        <item x="2"/>
        <item x="0"/>
        <item t="default"/>
      </items>
    </pivotField>
  </pivotFields>
  <rowFields count="1">
    <field x="0"/>
  </rowFields>
  <rowItems count="6">
    <i>
      <x/>
    </i>
    <i>
      <x v="1"/>
    </i>
    <i>
      <x v="2"/>
    </i>
    <i>
      <x v="3"/>
    </i>
    <i>
      <x v="4"/>
    </i>
    <i t="grand">
      <x/>
    </i>
  </rowItems>
  <colItems count="1">
    <i/>
  </colItems>
  <pageFields count="2">
    <pageField fld="2" hier="-1"/>
    <pageField fld="3" hier="-1"/>
  </pageFields>
  <dataFields count="1">
    <dataField name="Sum of Total (3–17)" fld="1" baseField="0" baseItem="0" numFmtId="3"/>
  </dataFields>
  <chartFormats count="16">
    <chartFormat chart="5" format="2"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0" count="1" selected="0">
            <x v="0"/>
          </reference>
        </references>
      </pivotArea>
    </chartFormat>
    <chartFormat chart="7" format="9">
      <pivotArea type="data" outline="0" fieldPosition="0">
        <references count="2">
          <reference field="4294967294" count="1" selected="0">
            <x v="0"/>
          </reference>
          <reference field="0" count="1" selected="0">
            <x v="1"/>
          </reference>
        </references>
      </pivotArea>
    </chartFormat>
    <chartFormat chart="7" format="10">
      <pivotArea type="data" outline="0" fieldPosition="0">
        <references count="2">
          <reference field="4294967294" count="1" selected="0">
            <x v="0"/>
          </reference>
          <reference field="0" count="1" selected="0">
            <x v="2"/>
          </reference>
        </references>
      </pivotArea>
    </chartFormat>
    <chartFormat chart="7" format="11">
      <pivotArea type="data" outline="0" fieldPosition="0">
        <references count="2">
          <reference field="4294967294" count="1" selected="0">
            <x v="0"/>
          </reference>
          <reference field="0" count="1" selected="0">
            <x v="3"/>
          </reference>
        </references>
      </pivotArea>
    </chartFormat>
    <chartFormat chart="7" format="12">
      <pivotArea type="data" outline="0" fieldPosition="0">
        <references count="2">
          <reference field="4294967294" count="1" selected="0">
            <x v="0"/>
          </reference>
          <reference field="0" count="1" selected="0">
            <x v="4"/>
          </reference>
        </references>
      </pivotArea>
    </chartFormat>
    <chartFormat chart="11" format="2"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0"/>
          </reference>
        </references>
      </pivotArea>
    </chartFormat>
    <chartFormat chart="16" format="8">
      <pivotArea type="data" outline="0" fieldPosition="0">
        <references count="2">
          <reference field="4294967294" count="1" selected="0">
            <x v="0"/>
          </reference>
          <reference field="0" count="1" selected="0">
            <x v="0"/>
          </reference>
        </references>
      </pivotArea>
    </chartFormat>
    <chartFormat chart="16" format="9">
      <pivotArea type="data" outline="0" fieldPosition="0">
        <references count="2">
          <reference field="4294967294" count="1" selected="0">
            <x v="0"/>
          </reference>
          <reference field="0" count="1" selected="0">
            <x v="1"/>
          </reference>
        </references>
      </pivotArea>
    </chartFormat>
    <chartFormat chart="16" format="10">
      <pivotArea type="data" outline="0" fieldPosition="0">
        <references count="2">
          <reference field="4294967294" count="1" selected="0">
            <x v="0"/>
          </reference>
          <reference field="0" count="1" selected="0">
            <x v="2"/>
          </reference>
        </references>
      </pivotArea>
    </chartFormat>
    <chartFormat chart="16" format="11">
      <pivotArea type="data" outline="0" fieldPosition="0">
        <references count="2">
          <reference field="4294967294" count="1" selected="0">
            <x v="0"/>
          </reference>
          <reference field="0" count="1" selected="0">
            <x v="3"/>
          </reference>
        </references>
      </pivotArea>
    </chartFormat>
    <chartFormat chart="16" format="12">
      <pivotArea type="data" outline="0" fieldPosition="0">
        <references count="2">
          <reference field="4294967294" count="1" selected="0">
            <x v="0"/>
          </reference>
          <reference field="0" count="1" selected="0">
            <x v="4"/>
          </reference>
        </references>
      </pivotArea>
    </chartFormat>
    <chartFormat chart="18" format="2" series="1">
      <pivotArea type="data" outline="0" fieldPosition="0">
        <references count="1">
          <reference field="4294967294" count="1" selected="0">
            <x v="0"/>
          </reference>
        </references>
      </pivotArea>
    </chartFormat>
    <chartFormat chart="2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8DCB5F20-8E0D-4E99-BC5E-16C81E7B9FE8}" autoFormatId="16" applyNumberFormats="0" applyBorderFormats="0" applyFontFormats="0" applyPatternFormats="0" applyAlignmentFormats="0" applyWidthHeightFormats="0">
  <queryTableRefresh nextId="24">
    <queryTableFields count="20">
      <queryTableField id="1" name="Sl. No." tableColumnId="1"/>
      <queryTableField id="2" name="India/State/UT" tableColumnId="2"/>
      <queryTableField id="3" name="Projected Population by Age Group - Overall - Age 3 to 5 - Boys" tableColumnId="3"/>
      <queryTableField id="4" name="Projected Population by Age Group - Overall - Age 3 to 5 - Girls" tableColumnId="4"/>
      <queryTableField id="5" name="Projected Population by Age Group - Overall - Age 3 to 5 - Total" tableColumnId="5"/>
      <queryTableField id="6" name="Projected Population by Age Group - Overall - Age 6 to 10 - Boys" tableColumnId="6"/>
      <queryTableField id="7" name="Projected Population by Age Group - Overall - Age 6 to 10 - Girls" tableColumnId="7"/>
      <queryTableField id="8" name="Projected Population by Age Group - Overall - Age 6 to 10 - Total" tableColumnId="8"/>
      <queryTableField id="9" name="Projected Population by Age Group - Overall - Age 11 to 13 - Boys" tableColumnId="9"/>
      <queryTableField id="10" name="Projected Population by Age Group - Overall - Age 11 to 13 - Girls" tableColumnId="10"/>
      <queryTableField id="11" name="Projected Population by Age Group - Overall - Age 11 to 13 - Total" tableColumnId="11"/>
      <queryTableField id="12" name="Projected Population by Age Group - Overall - Age 6 to 13 - Boys" tableColumnId="12"/>
      <queryTableField id="13" name="Projected Population by Age Group - Overall - Age 6 to 13 - Girls" tableColumnId="13"/>
      <queryTableField id="14" name="Projected Population by Age Group - Overall - Age 6 to 13 - Total" tableColumnId="14"/>
      <queryTableField id="15" name="Projected Population by Age Group - Overall - Age 14 to 15 - Boys" tableColumnId="15"/>
      <queryTableField id="16" name="Projected Population by Age Group - Overall - Age 14 to 15 - Girls" tableColumnId="16"/>
      <queryTableField id="17" name="Projected Population by Age Group - Overall - Age 14 to 15 - Total" tableColumnId="17"/>
      <queryTableField id="18" name="Projected Population by Age Group - Overall - Age 16 to 17 - Boys" tableColumnId="18"/>
      <queryTableField id="19" name="Projected Population by Age Group - Overall - Age 16 to 17 - Girls" tableColumnId="19"/>
      <queryTableField id="20" name="Projected Population by Age Group - Overall - Age 16 to 17 - Total" tableColumnId="2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91EC0642-80F7-4DDC-A82B-2547F7BF4AF8}" autoFormatId="16" applyNumberFormats="0" applyBorderFormats="0" applyFontFormats="0" applyPatternFormats="0" applyAlignmentFormats="0" applyWidthHeightFormats="0">
  <queryTableRefresh nextId="26" unboundColumnsRight="2">
    <queryTableFields count="8">
      <queryTableField id="1" name="Sl. No." tableColumnId="1"/>
      <queryTableField id="2" name="India/State/UT" tableColumnId="2"/>
      <queryTableField id="5" name="Projected Population by Age Group - Overall - Age 3 to 5 - Total" tableColumnId="5"/>
      <queryTableField id="14" name="Projected Population by Age Group - Overall - Age 6 to 13 - Total" tableColumnId="14"/>
      <queryTableField id="17" name="Projected Population by Age Group - Overall - Age 14 to 15 - Total" tableColumnId="17"/>
      <queryTableField id="20" name="Projected Population by Age Group - Overall - Age 16 to 17 - Total" tableColumnId="20"/>
      <queryTableField id="24" dataBound="0" tableColumnId="3"/>
      <queryTableField id="25" dataBound="0" tableColumnId="4"/>
    </queryTableFields>
    <queryTableDeletedFields count="14">
      <deletedField name="Projected Population by Age Group - Overall - Age 3 to 5 - Boys"/>
      <deletedField name="Projected Population by Age Group - Overall - Age 3 to 5 - Girls"/>
      <deletedField name="Projected Population by Age Group - Overall - Age 6 to 10 - Boys"/>
      <deletedField name="Projected Population by Age Group - Overall - Age 6 to 10 - Girls"/>
      <deletedField name="Projected Population by Age Group - Overall - Age 6 to 10 - Total"/>
      <deletedField name="Projected Population by Age Group - Overall - Age 11 to 13 - Boys"/>
      <deletedField name="Projected Population by Age Group - Overall - Age 11 to 13 - Girls"/>
      <deletedField name="Projected Population by Age Group - Overall - Age 11 to 13 - Total"/>
      <deletedField name="Projected Population by Age Group - Overall - Age 6 to 13 - Boys"/>
      <deletedField name="Projected Population by Age Group - Overall - Age 6 to 13 - Girls"/>
      <deletedField name="Projected Population by Age Group - Overall - Age 14 to 15 - Boys"/>
      <deletedField name="Projected Population by Age Group - Overall - Age 14 to 15 - Girls"/>
      <deletedField name="Projected Population by Age Group - Overall - Age 16 to 17 - Boys"/>
      <deletedField name="Projected Population by Age Group - Overall - Age 16 to 17 - Girls"/>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87C0A238-9E7A-4766-9E7E-FA097F2AA33B}" autoFormatId="16" applyNumberFormats="0" applyBorderFormats="0" applyFontFormats="0" applyPatternFormats="0" applyAlignmentFormats="0" applyWidthHeightFormats="0">
  <queryTableRefresh nextId="26" unboundColumnsRight="2">
    <queryTableFields count="8">
      <queryTableField id="1" name="Sl. No." tableColumnId="1"/>
      <queryTableField id="2" name="India/State/UT" tableColumnId="2"/>
      <queryTableField id="3" name="Projected Population by Age Group - Overall - Age 3 to 5 - Boys" tableColumnId="3"/>
      <queryTableField id="12" name="Projected Population by Age Group - Overall - Age 6 to 13 - Boys" tableColumnId="12"/>
      <queryTableField id="15" name="Projected Population by Age Group - Overall - Age 14 to 15 - Boys" tableColumnId="15"/>
      <queryTableField id="18" name="Projected Population by Age Group - Overall - Age 16 to 17 - Boys" tableColumnId="18"/>
      <queryTableField id="24" dataBound="0" tableColumnId="4"/>
      <queryTableField id="25" dataBound="0" tableColumnId="5"/>
    </queryTableFields>
    <queryTableDeletedFields count="14">
      <deletedField name="Projected Population by Age Group - Overall - Age 3 to 5 - Girls"/>
      <deletedField name="Projected Population by Age Group - Overall - Age 3 to 5 - Total"/>
      <deletedField name="Projected Population by Age Group - Overall - Age 6 to 10 - Boys"/>
      <deletedField name="Projected Population by Age Group - Overall - Age 6 to 10 - Girls"/>
      <deletedField name="Projected Population by Age Group - Overall - Age 6 to 10 - Total"/>
      <deletedField name="Projected Population by Age Group - Overall - Age 11 to 13 - Boys"/>
      <deletedField name="Projected Population by Age Group - Overall - Age 11 to 13 - Girls"/>
      <deletedField name="Projected Population by Age Group - Overall - Age 11 to 13 - Total"/>
      <deletedField name="Projected Population by Age Group - Overall - Age 6 to 13 - Girls"/>
      <deletedField name="Projected Population by Age Group - Overall - Age 6 to 13 - Total"/>
      <deletedField name="Projected Population by Age Group - Overall - Age 14 to 15 - Girls"/>
      <deletedField name="Projected Population by Age Group - Overall - Age 14 to 15 - Total"/>
      <deletedField name="Projected Population by Age Group - Overall - Age 16 to 17 - Girls"/>
      <deletedField name="Projected Population by Age Group - Overall - Age 16 to 17 - Total"/>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5" xr16:uid="{14844A02-8E16-4E74-ABAE-5A96E7ACE7FD}" autoFormatId="16" applyNumberFormats="0" applyBorderFormats="0" applyFontFormats="0" applyPatternFormats="0" applyAlignmentFormats="0" applyWidthHeightFormats="0">
  <queryTableRefresh nextId="26" unboundColumnsRight="2">
    <queryTableFields count="8">
      <queryTableField id="1" name="Sl. No." tableColumnId="1"/>
      <queryTableField id="2" name="India/State/UT" tableColumnId="2"/>
      <queryTableField id="4" name="Projected Population by Age Group - Overall - Age 3 to 5 - Girls" tableColumnId="4"/>
      <queryTableField id="13" name="Projected Population by Age Group - Overall - Age 6 to 13 - Girls" tableColumnId="13"/>
      <queryTableField id="16" name="Projected Population by Age Group - Overall - Age 14 to 15 - Girls" tableColumnId="16"/>
      <queryTableField id="19" name="Projected Population by Age Group - Overall - Age 16 to 17 - Girls" tableColumnId="19"/>
      <queryTableField id="24" dataBound="0" tableColumnId="3"/>
      <queryTableField id="25" dataBound="0" tableColumnId="5"/>
    </queryTableFields>
    <queryTableDeletedFields count="14">
      <deletedField name="Projected Population by Age Group - Overall - Age 3 to 5 - Boys"/>
      <deletedField name="Projected Population by Age Group - Overall - Age 3 to 5 - Total"/>
      <deletedField name="Projected Population by Age Group - Overall - Age 6 to 10 - Boys"/>
      <deletedField name="Projected Population by Age Group - Overall - Age 6 to 10 - Girls"/>
      <deletedField name="Projected Population by Age Group - Overall - Age 6 to 10 - Total"/>
      <deletedField name="Projected Population by Age Group - Overall - Age 11 to 13 - Boys"/>
      <deletedField name="Projected Population by Age Group - Overall - Age 11 to 13 - Girls"/>
      <deletedField name="Projected Population by Age Group - Overall - Age 11 to 13 - Total"/>
      <deletedField name="Projected Population by Age Group - Overall - Age 6 to 13 - Boys"/>
      <deletedField name="Projected Population by Age Group - Overall - Age 6 to 13 - Total"/>
      <deletedField name="Projected Population by Age Group - Overall - Age 14 to 15 - Boys"/>
      <deletedField name="Projected Population by Age Group - Overall - Age 14 to 15 - Total"/>
      <deletedField name="Projected Population by Age Group - Overall - Age 16 to 17 - Boys"/>
      <deletedField name="Projected Population by Age Group - Overall - Age 16 to 17 - Total"/>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ia_State_UT2" xr10:uid="{D89A432F-B6F9-4C42-A4C7-A9C9AEBD5CCB}" sourceName="India/State/UT">
  <pivotTables>
    <pivotTable tabId="13" name="PivotTable3"/>
  </pivotTables>
  <data>
    <tabular pivotCacheId="1019054678">
      <items count="37">
        <i x="1" s="1"/>
        <i x="2" s="1"/>
        <i x="3" s="1"/>
        <i x="4" s="1"/>
        <i x="5" s="1"/>
        <i x="6" s="1"/>
        <i x="7" s="1"/>
        <i x="8" s="1"/>
        <i x="9" s="1"/>
        <i x="10" s="1"/>
        <i x="11" s="1"/>
        <i x="12" s="1"/>
        <i x="13" s="1"/>
        <i x="0" s="1"/>
        <i x="14" s="1"/>
        <i x="15" s="1"/>
        <i x="16" s="1"/>
        <i x="17" s="1"/>
        <i x="18" s="1"/>
        <i x="19" s="1"/>
        <i x="20" s="1"/>
        <i x="21" s="1"/>
        <i x="22" s="1"/>
        <i x="23" s="1"/>
        <i x="24" s="1"/>
        <i x="25" s="1"/>
        <i x="26" s="1"/>
        <i x="27" s="1"/>
        <i x="28" s="1"/>
        <i x="29" s="1"/>
        <i x="30" s="1"/>
        <i x="31" s="1"/>
        <i x="32" s="1"/>
        <i x="33" s="1"/>
        <i x="34" s="1"/>
        <i x="35" s="1"/>
        <i x="3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verall___Girls___Population___Status" xr10:uid="{810D24CA-02AE-4FD6-9A62-4FAB14AD6A3A}" sourceName="Overall - Girls - Population - Status">
  <pivotTables>
    <pivotTable tabId="13" name="PivotTable3"/>
  </pivotTables>
  <data>
    <tabular pivotCacheId="1019054678">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ia_State_UT1" xr10:uid="{254F0448-D95B-417E-BDE5-BD8B248B2AD0}" sourceName="India/State/UT">
  <pivotTables>
    <pivotTable tabId="12" name="PivotTable2"/>
  </pivotTables>
  <data>
    <tabular pivotCacheId="1673340659">
      <items count="37">
        <i x="1" s="1"/>
        <i x="2" s="1"/>
        <i x="3" s="1"/>
        <i x="4" s="1"/>
        <i x="5" s="1"/>
        <i x="6" s="1"/>
        <i x="7" s="1"/>
        <i x="8" s="1"/>
        <i x="9" s="1"/>
        <i x="10" s="1"/>
        <i x="11" s="1"/>
        <i x="12" s="1"/>
        <i x="13" s="1"/>
        <i x="0" s="1"/>
        <i x="14" s="1"/>
        <i x="15" s="1"/>
        <i x="16" s="1"/>
        <i x="17" s="1"/>
        <i x="18" s="1"/>
        <i x="19" s="1"/>
        <i x="20" s="1"/>
        <i x="21" s="1"/>
        <i x="22" s="1"/>
        <i x="23" s="1"/>
        <i x="24" s="1"/>
        <i x="25" s="1"/>
        <i x="26" s="1"/>
        <i x="27" s="1"/>
        <i x="28" s="1"/>
        <i x="29" s="1"/>
        <i x="30" s="1"/>
        <i x="31" s="1"/>
        <i x="32" s="1"/>
        <i x="33" s="1"/>
        <i x="34" s="1"/>
        <i x="35" s="1"/>
        <i x="36"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verall___Boys___Population___Status" xr10:uid="{835B4151-3A08-4FDA-AAA2-2182B8ABF5E7}" sourceName="Overall - Boys - Population - Status">
  <pivotTables>
    <pivotTable tabId="12" name="PivotTable2"/>
  </pivotTables>
  <data>
    <tabular pivotCacheId="1673340659">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ia_State_UT" xr10:uid="{45BA399E-96AD-4D2E-9EF6-CF98A2ABDD8A}" sourceName="India/State/UT">
  <pivotTables>
    <pivotTable tabId="10" name="PivotTable1"/>
  </pivotTables>
  <data>
    <tabular pivotCacheId="670191172">
      <items count="37">
        <i x="1" s="1"/>
        <i x="2" s="1"/>
        <i x="3" s="1"/>
        <i x="4" s="1"/>
        <i x="5" s="1"/>
        <i x="6" s="1"/>
        <i x="7" s="1"/>
        <i x="8" s="1"/>
        <i x="9" s="1"/>
        <i x="10" s="1"/>
        <i x="11" s="1"/>
        <i x="12" s="1"/>
        <i x="13" s="1"/>
        <i x="0" s="1"/>
        <i x="14" s="1"/>
        <i x="15" s="1"/>
        <i x="16" s="1"/>
        <i x="17" s="1"/>
        <i x="18" s="1"/>
        <i x="19" s="1"/>
        <i x="20" s="1"/>
        <i x="21" s="1"/>
        <i x="22" s="1"/>
        <i x="23" s="1"/>
        <i x="24" s="1"/>
        <i x="25" s="1"/>
        <i x="26" s="1"/>
        <i x="27" s="1"/>
        <i x="28" s="1"/>
        <i x="29" s="1"/>
        <i x="30" s="1"/>
        <i x="31" s="1"/>
        <i x="32" s="1"/>
        <i x="33" s="1"/>
        <i x="34" s="1"/>
        <i x="35" s="1"/>
        <i x="36"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pulation___Status" xr10:uid="{AED1610E-0A19-47F5-BA93-BF54DA365127}" sourceName="Population - Status">
  <pivotTables>
    <pivotTable tabId="10" name="PivotTable1"/>
  </pivotTables>
  <data>
    <tabular pivotCacheId="670191172">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AC121678-3AE2-4054-95D4-65C9051353E6}" sourceName="State">
  <pivotTables>
    <pivotTable tabId="24" name="PivotTable1"/>
  </pivotTables>
  <data>
    <tabular pivotCacheId="455033533">
      <items count="5">
        <i x="1" s="1"/>
        <i x="3" s="1"/>
        <i x="2" s="1"/>
        <i x="4"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ia/State/UT" xr10:uid="{09398458-E4E3-4D51-8E28-611686114ECB}" cache="Slicer_India_State_UT" caption="India/State/UT" startItem="7" rowHeight="241300"/>
  <slicer name="Population - Status" xr10:uid="{704CB0F3-98AF-477E-9C5A-2673AD9B6DD0}" cache="Slicer_Population___Status" caption="Population - Status"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ia/State/UT 1" xr10:uid="{88EB26AD-CE29-422A-B07D-12AD38257302}" cache="Slicer_India_State_UT1" caption="India/State/UT" rowHeight="241300"/>
  <slicer name="Overall - Boys - Population - Status" xr10:uid="{F1861AD4-3F7D-482D-B311-08D47C969F1D}" cache="Slicer_Overall___Boys___Population___Status" caption="Overall - Boys - Population - Status"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ia/State/UT 2" xr10:uid="{C3A7EC28-D046-4640-AA77-ED8A5934DB05}" cache="Slicer_India_State_UT2" caption="India/State/UT" startItem="12" rowHeight="241300"/>
  <slicer name="Overall - Girls - Population - Status" xr10:uid="{D9D38164-2031-474D-86E8-E4FCB0B2630C}" cache="Slicer_Overall___Girls___Population___Status" caption="Overall - Girls - Population - Status"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EDA8C64C-9580-4C87-AD48-8530C4D24ACF}" cache="Slicer_State" caption="State" startItem="1"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ia/State/UT 5" xr10:uid="{C5F286D9-7CA8-4D54-B971-3BB0F8F3AC6D}" cache="Slicer_India_State_UT2" caption="India/State/UT" startItem="3" rowHeight="241300"/>
  <slicer name="Overall - Girls - Population - Status 1" xr10:uid="{7B781736-B16F-4D52-A511-79BDA2CBD19C}" cache="Slicer_Overall___Girls___Population___Status" caption="Overall - Girls - Population - Status" rowHeight="241300"/>
  <slicer name="India/State/UT 3" xr10:uid="{057DB057-19E6-4276-9155-0CCC090F7206}" cache="Slicer_India_State_UT1" caption="India/State/UT" rowHeight="241300"/>
  <slicer name="Overall - Boys - Population - Status 1" xr10:uid="{83695FEB-5394-4E02-A27E-FD3AE3C305C9}" cache="Slicer_Overall___Boys___Population___Status" caption="Overall - Boys - Population - Status" startItem="1" rowHeight="241300"/>
  <slicer name="India/State/UT 4" xr10:uid="{1D0DF68B-3664-40BD-8573-DA4984758C36}" cache="Slicer_India_State_UT" caption="India/State/UT" rowHeight="241300"/>
  <slicer name="Population - Status 1" xr10:uid="{6518683B-6284-4B74-A7FB-4CA350ECC331}" cache="Slicer_Population___Status" caption="Population - Status" startItem="1" rowHeight="241300"/>
  <slicer name="State 1" xr10:uid="{5B462967-C6C4-446D-A474-2A441BA49068}" cache="Slicer_State" caption="Stat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63B45EF-CA3C-445E-918C-063DD4A9FF02}" name="UDISE_2022_23_Table_10_1_0" displayName="UDISE_2022_23_Table_10_1_0" ref="A1:T38" tableType="queryTable" totalsRowShown="0" headerRowDxfId="57" dataDxfId="56">
  <autoFilter ref="A1:T38" xr:uid="{063B45EF-CA3C-445E-918C-063DD4A9FF02}"/>
  <tableColumns count="20">
    <tableColumn id="1" xr3:uid="{D94FB897-3548-43AC-B453-D1DE4C01DF83}" uniqueName="1" name="Sl. No." queryTableFieldId="1" dataDxfId="55"/>
    <tableColumn id="2" xr3:uid="{D1673C06-2CCF-4525-8F34-757021925A41}" uniqueName="2" name="India/State/UT" queryTableFieldId="2" dataDxfId="54"/>
    <tableColumn id="3" xr3:uid="{65CB5DFC-6D2E-46EA-9C19-ABFA79A8E3C4}" uniqueName="3" name="Projected Population by Age Group - Overall - Age 3 to 5 - Boys" queryTableFieldId="3" dataDxfId="53"/>
    <tableColumn id="4" xr3:uid="{1FFFC58D-8276-486A-A61B-7AAACC133879}" uniqueName="4" name="Projected Population by Age Group - Overall - Age 3 to 5 - Girls" queryTableFieldId="4" dataDxfId="52"/>
    <tableColumn id="5" xr3:uid="{E62F6066-3810-4B8A-9B2A-C73CB02A34E1}" uniqueName="5" name="Projected Population by Age Group - Overall - Age 3 to 5 - Total" queryTableFieldId="5" dataDxfId="51"/>
    <tableColumn id="6" xr3:uid="{24BF8755-E934-40F0-9F99-872F5F027879}" uniqueName="6" name="Projected Population by Age Group - Overall - Age 6 to 10 - Boys" queryTableFieldId="6" dataDxfId="50"/>
    <tableColumn id="7" xr3:uid="{A96EEBED-18DE-452B-BE21-CD437087F8F4}" uniqueName="7" name="Projected Population by Age Group - Overall - Age 6 to 10 - Girls" queryTableFieldId="7" dataDxfId="49"/>
    <tableColumn id="8" xr3:uid="{52AC7BD7-8A90-4BC8-8751-20B717386ADF}" uniqueName="8" name="Projected Population by Age Group - Overall - Age 6 to 10 - Total" queryTableFieldId="8" dataDxfId="48"/>
    <tableColumn id="9" xr3:uid="{EF4045F6-D2E6-44CB-96C8-22105D7054B5}" uniqueName="9" name="Projected Population by Age Group - Overall - Age 11 to 13 - Boys" queryTableFieldId="9" dataDxfId="47"/>
    <tableColumn id="10" xr3:uid="{58BACC10-4829-4B38-8BA7-BFC5556C4065}" uniqueName="10" name="Projected Population by Age Group - Overall - Age 11 to 13 - Girls" queryTableFieldId="10" dataDxfId="46"/>
    <tableColumn id="11" xr3:uid="{43D5A196-A768-4415-AB94-931008E48A0F}" uniqueName="11" name="Projected Population by Age Group - Overall - Age 11 to 13 - Total" queryTableFieldId="11" dataDxfId="45"/>
    <tableColumn id="12" xr3:uid="{0DD55693-3165-4D39-BF91-DE239F5AB619}" uniqueName="12" name="Projected Population by Age Group - Overall - Age 6 to 13 - Boys" queryTableFieldId="12" dataDxfId="44"/>
    <tableColumn id="13" xr3:uid="{4B53D15F-60D7-4BE7-AFEE-33067ED011D8}" uniqueName="13" name="Projected Population by Age Group - Overall - Age 6 to 13 - Girls" queryTableFieldId="13" dataDxfId="43"/>
    <tableColumn id="14" xr3:uid="{B0DA3AFB-B7CC-4917-BDFA-ABB13D8C3864}" uniqueName="14" name="Projected Population by Age Group - Overall - Age 6 to 13 - Total" queryTableFieldId="14" dataDxfId="42"/>
    <tableColumn id="15" xr3:uid="{0B4CC558-C660-4378-8F6F-8CF2112857BD}" uniqueName="15" name="Projected Population by Age Group - Overall - Age 14 to 15 - Boys" queryTableFieldId="15" dataDxfId="41"/>
    <tableColumn id="16" xr3:uid="{7058C25E-27F3-4738-99B7-E7124D80BDD5}" uniqueName="16" name="Projected Population by Age Group - Overall - Age 14 to 15 - Girls" queryTableFieldId="16" dataDxfId="40"/>
    <tableColumn id="17" xr3:uid="{1C3D3EB5-AA5E-4B55-A372-D343EBE4D7B7}" uniqueName="17" name="Projected Population by Age Group - Overall - Age 14 to 15 - Total" queryTableFieldId="17" dataDxfId="39"/>
    <tableColumn id="18" xr3:uid="{7606D08A-BD17-4DCC-AE20-CE9EF8668036}" uniqueName="18" name="Projected Population by Age Group - Overall - Age 16 to 17 - Boys" queryTableFieldId="18" dataDxfId="38"/>
    <tableColumn id="19" xr3:uid="{BF8297B3-75CF-48B4-819B-D57E8BBACCAD}" uniqueName="19" name="Projected Population by Age Group - Overall - Age 16 to 17 - Girls" queryTableFieldId="19" dataDxfId="37"/>
    <tableColumn id="20" xr3:uid="{75E4648E-EEAD-4F4C-9CFB-DC02FAD01721}" uniqueName="20" name="Projected Population by Age Group - Overall - Age 16 to 17 - Total" queryTableFieldId="20" dataDxfId="3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6D73D91-9C04-4ACE-8EFD-3D7C27AE8248}" name="UDISE_2022_23_Table_10_1_04" displayName="UDISE_2022_23_Table_10_1_04" ref="A1:H38" tableType="queryTable" totalsRowShown="0" headerRowDxfId="35" dataDxfId="34">
  <autoFilter ref="A1:H38" xr:uid="{36D73D91-9C04-4ACE-8EFD-3D7C27AE8248}"/>
  <tableColumns count="8">
    <tableColumn id="1" xr3:uid="{2933CF80-1E9B-4BF5-A96A-8DA4D56EA7C2}" uniqueName="1" name="Sl. No." queryTableFieldId="1" dataDxfId="33"/>
    <tableColumn id="2" xr3:uid="{FEBBA507-6458-41BE-B99A-1402D6355F0C}" uniqueName="2" name="India/State/UT" queryTableFieldId="2" dataDxfId="32"/>
    <tableColumn id="5" xr3:uid="{6E8393F4-B967-4DBD-BFF1-998261C38A1D}" uniqueName="5" name="Projected Population by Age Group - Overall - Age 3 to 5 - Total" queryTableFieldId="5" dataDxfId="31"/>
    <tableColumn id="14" xr3:uid="{AC6E6A54-5465-48AC-946A-476F0B827BD4}" uniqueName="14" name="Projected Population by Age Group - Overall - Age 6 to 13 - Total" queryTableFieldId="14" dataDxfId="30"/>
    <tableColumn id="17" xr3:uid="{7F2A4681-7477-4E38-9617-D6F9454C497E}" uniqueName="17" name="Projected Population by Age Group - Overall - Age 14 to 15 - Total" queryTableFieldId="17" dataDxfId="29"/>
    <tableColumn id="20" xr3:uid="{ED132F6A-43FF-46EE-B3CB-E9FDF627CE94}" uniqueName="20" name="Projected Population by Age Group - Overall - Age 16 to 17 - Total" queryTableFieldId="20" dataDxfId="28"/>
    <tableColumn id="3" xr3:uid="{4E8B15F4-2686-4E69-B251-3A536097AF12}" uniqueName="3" name="Overall - Population " queryTableFieldId="24" dataDxfId="27">
      <calculatedColumnFormula>SUM(UDISE_2022_23_Table_10_1_04[[#This Row],[Projected Population by Age Group - Overall - Age 3 to 5 - Total]:[Projected Population by Age Group - Overall - Age 16 to 17 - Total]])</calculatedColumnFormula>
    </tableColumn>
    <tableColumn id="4" xr3:uid="{4CC478FE-668B-4DE8-8F1F-532696EC475D}" uniqueName="4" name="Population - Status" queryTableFieldId="25" dataDxfId="26">
      <calculatedColumnFormula array="1">_xlfn.IFS(
 UDISE_2022_23_Table_10_1_04[[#This Row],[Overall - Population ]] &gt; 10273899.83, "Above-Average",
  UDISE_2022_23_Table_10_1_04[[#This Row],[Overall - Population ]] &lt; 10273899.83, "Below-Average",
  UDISE_2022_23_Table_10_1_04[[#This Row],[Overall - Population ]] = 10273899.83, "Average"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7217F7C-E75F-4EAD-ACEC-DCBFD29ACB77}" name="UDISE_2022_23_Table_10_1_05" displayName="UDISE_2022_23_Table_10_1_05" ref="A1:H38" tableType="queryTable" totalsRowShown="0" headerRowDxfId="25" dataDxfId="24">
  <autoFilter ref="A1:H38" xr:uid="{47217F7C-E75F-4EAD-ACEC-DCBFD29ACB77}"/>
  <tableColumns count="8">
    <tableColumn id="1" xr3:uid="{CFEDF9AC-29E7-4AE7-A2E3-AC1B696FBC85}" uniqueName="1" name="Sl. No." queryTableFieldId="1" dataDxfId="23"/>
    <tableColumn id="2" xr3:uid="{0E91AB0D-96FB-42A7-8591-0DECEB8C7D58}" uniqueName="2" name="India/State/UT" queryTableFieldId="2" dataDxfId="22"/>
    <tableColumn id="3" xr3:uid="{1461223C-F80E-4DBA-8E00-2E9BB7F5BC7D}" uniqueName="3" name="Projected Population by Age Group - Overall - Age 3 to 5 - Boys" queryTableFieldId="3" dataDxfId="21"/>
    <tableColumn id="12" xr3:uid="{12F8831C-E4C8-4059-B308-33A7E833E723}" uniqueName="12" name="Projected Population by Age Group - Overall - Age 6 to 13 - Boys" queryTableFieldId="12" dataDxfId="20"/>
    <tableColumn id="15" xr3:uid="{A42EC5B6-1C8C-4624-9432-8A04FB4B9CDC}" uniqueName="15" name="Projected Population by Age Group - Overall - Age 14 to 15 - Boys" queryTableFieldId="15" dataDxfId="19"/>
    <tableColumn id="18" xr3:uid="{DD5DC1B2-0709-40C0-BF39-AC4E008E0EFE}" uniqueName="18" name="Projected Population by Age Group - Overall - Age 16 to 17 - Boys" queryTableFieldId="18" dataDxfId="18"/>
    <tableColumn id="4" xr3:uid="{67995D4E-982B-493F-9418-2A3BC9967AE4}" uniqueName="4" name="Overall - Boys - Population" queryTableFieldId="24" dataDxfId="17">
      <calculatedColumnFormula>SUM(UDISE_2022_23_Table_10_1_04[[#This Row],[Projected Population by Age Group - Overall - Age 3 to 5 - Total]:[Projected Population by Age Group - Overall - Age 16 to 17 - Total]])</calculatedColumnFormula>
    </tableColumn>
    <tableColumn id="5" xr3:uid="{B7039D25-E834-4A78-B1C2-CB87BF8D31C8}" uniqueName="5" name="Overall - Boys - Population - Status" queryTableFieldId="25" dataDxfId="16">
      <calculatedColumnFormula array="1">_xlfn.IFS(UDISE_2022_23_Table_10_1_05[[#This Row],[Overall - Boys - Population]]&gt;10273899.83,"Above- Average",UDISE_2022_23_Table_10_1_05[[#This Row],[Overall - Boys - Population]]&lt;10273899.83,"Below - Average",UDISE_2022_23_Table_10_1_05[[#This Row],[Overall - Boys - Population]]=10273899.83,"Average")</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FA10A3F-1ED9-4EA9-ACAC-A122CA1A6F08}" name="UDISE_2022_23_Table_10_1_06" displayName="UDISE_2022_23_Table_10_1_06" ref="A1:H38" tableType="queryTable" totalsRowShown="0" headerRowDxfId="15" dataDxfId="14">
  <autoFilter ref="A1:H38" xr:uid="{2FA10A3F-1ED9-4EA9-ACAC-A122CA1A6F08}"/>
  <tableColumns count="8">
    <tableColumn id="1" xr3:uid="{C8532DB7-ED61-4C6E-A492-C844C2C03FBD}" uniqueName="1" name="Sl. No." queryTableFieldId="1" dataDxfId="13"/>
    <tableColumn id="2" xr3:uid="{3CF3782D-F0D3-4FE0-95FA-5837D77CF577}" uniqueName="2" name="India/State/UT" queryTableFieldId="2" dataDxfId="12"/>
    <tableColumn id="4" xr3:uid="{7F4319E8-B026-4FFC-887B-1902E1E37BEB}" uniqueName="4" name="Projected Population by Age Group - Overall - Age 3 to 5 - Girls" queryTableFieldId="4" dataDxfId="11"/>
    <tableColumn id="13" xr3:uid="{227DE2EA-4E34-4032-9EEA-FBC6DF9D903E}" uniqueName="13" name="Projected Population by Age Group - Overall - Age 6 to 13 - Girls" queryTableFieldId="13" dataDxfId="10"/>
    <tableColumn id="16" xr3:uid="{76530E3E-0239-47A9-B924-9B7C237408C7}" uniqueName="16" name="Projected Population by Age Group - Overall - Age 14 to 15 - Girls" queryTableFieldId="16" dataDxfId="9"/>
    <tableColumn id="19" xr3:uid="{751D19CA-D3CB-4401-9CE1-36EAE75BFA59}" uniqueName="19" name="Projected Population by Age Group - Overall - Age 16 to 17 - Girls" queryTableFieldId="19" dataDxfId="8"/>
    <tableColumn id="3" xr3:uid="{179EC687-AD73-4002-9908-6B0C0B865B33}" uniqueName="3" name="Overall - Girls - Population" queryTableFieldId="24" dataDxfId="7">
      <calculatedColumnFormula>SUM(UDISE_2022_23_Table_10_1_04[[#This Row],[Projected Population by Age Group - Overall - Age 3 to 5 - Total]:[Projected Population by Age Group - Overall - Age 16 to 17 - Total]])</calculatedColumnFormula>
    </tableColumn>
    <tableColumn id="5" xr3:uid="{715CC864-8474-4C82-9D28-D15477065CAF}" uniqueName="5" name="Overall - Girls - Population - Status" queryTableFieldId="25" dataDxfId="6">
      <calculatedColumnFormula array="1">_xlfn.IFS(UDISE_2022_23_Table_10_1_06[[#This Row],[Overall - Girls - Population]]&gt;10273899.83,"Above - Average",UDISE_2022_23_Table_10_1_06[[#This Row],[Overall - Girls - Population]]&lt;10273899.83,"Below - Average",UDISE_2022_23_Table_10_1_06[[#This Row],[Overall - Girls - Population]]=10273899.83,"Average")</calculatedColumnFormula>
    </tableColumn>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ABC5686-9B25-41B6-A077-00FBCACF7CE1}" name="Table2" displayName="Table2" ref="A3:D8" totalsRowShown="0" headerRowDxfId="0" dataDxfId="1">
  <autoFilter ref="A3:D8" xr:uid="{4ABC5686-9B25-41B6-A077-00FBCACF7CE1}"/>
  <tableColumns count="4">
    <tableColumn id="1" xr3:uid="{625CDC60-5C05-48AA-B241-FA7BFA8DA2CC}" name="State" dataDxfId="5"/>
    <tableColumn id="2" xr3:uid="{A66845E1-D04B-4A91-A4C3-003BEC73D0AF}" name="Total (3–17)" dataDxfId="4"/>
    <tableColumn id="3" xr3:uid="{E37D6911-F932-4E6A-8C48-4897689E0418}" name="Boys" dataDxfId="3"/>
    <tableColumn id="4" xr3:uid="{CE2EFCD6-C329-4D27-B20A-0AA7306A71E8}" name="Girls"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3.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7.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C1F86-0198-4571-97DB-785634FD82BA}">
  <sheetPr codeName="Sheet2"/>
  <dimension ref="A1:T38"/>
  <sheetViews>
    <sheetView topLeftCell="A28" workbookViewId="0">
      <selection activeCell="E43" sqref="E43"/>
    </sheetView>
  </sheetViews>
  <sheetFormatPr defaultRowHeight="14.5" x14ac:dyDescent="0.35"/>
  <sheetData>
    <row r="1" spans="1:20"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35">
      <c r="A2" t="s">
        <v>20</v>
      </c>
      <c r="B2" t="s">
        <v>20</v>
      </c>
      <c r="C2">
        <v>45529499</v>
      </c>
      <c r="D2">
        <v>40227065</v>
      </c>
      <c r="E2">
        <v>85753425</v>
      </c>
      <c r="F2">
        <v>62278594</v>
      </c>
      <c r="G2">
        <v>54622457</v>
      </c>
      <c r="H2">
        <v>116897134</v>
      </c>
      <c r="I2">
        <v>36978787</v>
      </c>
      <c r="J2">
        <v>33420625</v>
      </c>
      <c r="K2">
        <v>70402494</v>
      </c>
      <c r="L2">
        <v>99257381</v>
      </c>
      <c r="M2">
        <v>88043082</v>
      </c>
      <c r="N2">
        <v>187299628</v>
      </c>
      <c r="O2">
        <v>25151910</v>
      </c>
      <c r="P2">
        <v>22762376</v>
      </c>
      <c r="Q2">
        <v>47919989</v>
      </c>
      <c r="R2">
        <v>25683007</v>
      </c>
      <c r="S2">
        <v>23201244</v>
      </c>
      <c r="T2">
        <v>48887349</v>
      </c>
    </row>
    <row r="3" spans="1:20" x14ac:dyDescent="0.35">
      <c r="A3">
        <v>1</v>
      </c>
      <c r="B3" t="s">
        <v>22</v>
      </c>
      <c r="C3">
        <v>9206</v>
      </c>
      <c r="D3">
        <v>9092</v>
      </c>
      <c r="E3">
        <v>18298</v>
      </c>
      <c r="F3">
        <v>14315</v>
      </c>
      <c r="G3">
        <v>13627</v>
      </c>
      <c r="H3">
        <v>27937</v>
      </c>
      <c r="I3">
        <v>9537</v>
      </c>
      <c r="J3">
        <v>8766</v>
      </c>
      <c r="K3">
        <v>18297</v>
      </c>
      <c r="L3">
        <v>23851</v>
      </c>
      <c r="M3">
        <v>22393</v>
      </c>
      <c r="N3">
        <v>46234</v>
      </c>
      <c r="O3">
        <v>6660</v>
      </c>
      <c r="P3">
        <v>5966</v>
      </c>
      <c r="Q3">
        <v>12620</v>
      </c>
      <c r="R3">
        <v>6675</v>
      </c>
      <c r="S3">
        <v>5682</v>
      </c>
      <c r="T3">
        <v>12349</v>
      </c>
    </row>
    <row r="4" spans="1:20" x14ac:dyDescent="0.35">
      <c r="A4">
        <v>2</v>
      </c>
      <c r="B4" t="s">
        <v>24</v>
      </c>
      <c r="C4">
        <v>1403600</v>
      </c>
      <c r="D4">
        <v>1294400</v>
      </c>
      <c r="E4">
        <v>2698000</v>
      </c>
      <c r="F4">
        <v>1881800</v>
      </c>
      <c r="G4">
        <v>1720000</v>
      </c>
      <c r="H4">
        <v>3602600</v>
      </c>
      <c r="I4">
        <v>1129400</v>
      </c>
      <c r="J4">
        <v>1067000</v>
      </c>
      <c r="K4">
        <v>2196200</v>
      </c>
      <c r="L4">
        <v>3011200</v>
      </c>
      <c r="M4">
        <v>2787000</v>
      </c>
      <c r="N4">
        <v>5798800</v>
      </c>
      <c r="O4">
        <v>776400</v>
      </c>
      <c r="P4">
        <v>738200</v>
      </c>
      <c r="Q4">
        <v>1514600</v>
      </c>
      <c r="R4">
        <v>811400</v>
      </c>
      <c r="S4">
        <v>769200</v>
      </c>
      <c r="T4">
        <v>1580400</v>
      </c>
    </row>
    <row r="5" spans="1:20" x14ac:dyDescent="0.35">
      <c r="A5">
        <v>3</v>
      </c>
      <c r="B5" t="s">
        <v>26</v>
      </c>
      <c r="C5">
        <v>43890</v>
      </c>
      <c r="D5">
        <v>41285</v>
      </c>
      <c r="E5">
        <v>85175</v>
      </c>
      <c r="F5">
        <v>64771</v>
      </c>
      <c r="G5">
        <v>61398</v>
      </c>
      <c r="H5">
        <v>126169</v>
      </c>
      <c r="I5">
        <v>47202</v>
      </c>
      <c r="J5">
        <v>46207</v>
      </c>
      <c r="K5">
        <v>93409</v>
      </c>
      <c r="L5">
        <v>111973</v>
      </c>
      <c r="M5">
        <v>107605</v>
      </c>
      <c r="N5">
        <v>219578</v>
      </c>
      <c r="O5">
        <v>33518</v>
      </c>
      <c r="P5">
        <v>32642</v>
      </c>
      <c r="Q5">
        <v>66159</v>
      </c>
      <c r="R5">
        <v>31750</v>
      </c>
      <c r="S5">
        <v>31026</v>
      </c>
      <c r="T5">
        <v>62776</v>
      </c>
    </row>
    <row r="6" spans="1:20" x14ac:dyDescent="0.35">
      <c r="A6">
        <v>4</v>
      </c>
      <c r="B6" t="s">
        <v>28</v>
      </c>
      <c r="C6">
        <v>1241400</v>
      </c>
      <c r="D6">
        <v>1143400</v>
      </c>
      <c r="E6">
        <v>2384800</v>
      </c>
      <c r="F6">
        <v>1565800</v>
      </c>
      <c r="G6">
        <v>1430200</v>
      </c>
      <c r="H6">
        <v>2995600</v>
      </c>
      <c r="I6">
        <v>988200</v>
      </c>
      <c r="J6">
        <v>944800</v>
      </c>
      <c r="K6">
        <v>1932600</v>
      </c>
      <c r="L6">
        <v>2554000</v>
      </c>
      <c r="M6">
        <v>2375000</v>
      </c>
      <c r="N6">
        <v>4928200</v>
      </c>
      <c r="O6">
        <v>672800</v>
      </c>
      <c r="P6">
        <v>649400</v>
      </c>
      <c r="Q6">
        <v>1323000</v>
      </c>
      <c r="R6">
        <v>684400</v>
      </c>
      <c r="S6">
        <v>658600</v>
      </c>
      <c r="T6">
        <v>1342200</v>
      </c>
    </row>
    <row r="7" spans="1:20" x14ac:dyDescent="0.35">
      <c r="A7">
        <v>5</v>
      </c>
      <c r="B7" t="s">
        <v>30</v>
      </c>
      <c r="C7">
        <v>5422577</v>
      </c>
      <c r="D7">
        <v>4588405</v>
      </c>
      <c r="E7">
        <v>10008613</v>
      </c>
      <c r="F7">
        <v>7435407</v>
      </c>
      <c r="G7">
        <v>6340892</v>
      </c>
      <c r="H7">
        <v>13775749</v>
      </c>
      <c r="I7">
        <v>4434567</v>
      </c>
      <c r="J7">
        <v>3983019</v>
      </c>
      <c r="K7">
        <v>8421806</v>
      </c>
      <c r="L7">
        <v>11869975</v>
      </c>
      <c r="M7">
        <v>10323912</v>
      </c>
      <c r="N7">
        <v>22197555</v>
      </c>
      <c r="O7">
        <v>2948313</v>
      </c>
      <c r="P7">
        <v>2624743</v>
      </c>
      <c r="Q7">
        <v>5576563</v>
      </c>
      <c r="R7">
        <v>2954931</v>
      </c>
      <c r="S7">
        <v>2615601</v>
      </c>
      <c r="T7">
        <v>5572746</v>
      </c>
    </row>
    <row r="8" spans="1:20" x14ac:dyDescent="0.35">
      <c r="A8">
        <v>6</v>
      </c>
      <c r="B8" t="s">
        <v>32</v>
      </c>
      <c r="C8">
        <v>30138</v>
      </c>
      <c r="D8">
        <v>27503</v>
      </c>
      <c r="E8">
        <v>57611</v>
      </c>
      <c r="F8">
        <v>46284</v>
      </c>
      <c r="G8">
        <v>39268</v>
      </c>
      <c r="H8">
        <v>85509</v>
      </c>
      <c r="I8">
        <v>29769</v>
      </c>
      <c r="J8">
        <v>22971</v>
      </c>
      <c r="K8">
        <v>52715</v>
      </c>
      <c r="L8">
        <v>76053</v>
      </c>
      <c r="M8">
        <v>62239</v>
      </c>
      <c r="N8">
        <v>138224</v>
      </c>
      <c r="O8">
        <v>20980</v>
      </c>
      <c r="P8">
        <v>16245</v>
      </c>
      <c r="Q8">
        <v>37207</v>
      </c>
      <c r="R8">
        <v>22647</v>
      </c>
      <c r="S8">
        <v>16120</v>
      </c>
      <c r="T8">
        <v>38749</v>
      </c>
    </row>
    <row r="9" spans="1:20" x14ac:dyDescent="0.35">
      <c r="A9">
        <v>7</v>
      </c>
      <c r="B9" t="s">
        <v>34</v>
      </c>
      <c r="C9">
        <v>1030200</v>
      </c>
      <c r="D9">
        <v>971933</v>
      </c>
      <c r="E9">
        <v>2001267</v>
      </c>
      <c r="F9">
        <v>1428200</v>
      </c>
      <c r="G9">
        <v>1353400</v>
      </c>
      <c r="H9">
        <v>2782600</v>
      </c>
      <c r="I9">
        <v>813800</v>
      </c>
      <c r="J9">
        <v>784200</v>
      </c>
      <c r="K9">
        <v>1597200</v>
      </c>
      <c r="L9">
        <v>2242000</v>
      </c>
      <c r="M9">
        <v>2137600</v>
      </c>
      <c r="N9">
        <v>4379800</v>
      </c>
      <c r="O9">
        <v>547600</v>
      </c>
      <c r="P9">
        <v>529200</v>
      </c>
      <c r="Q9">
        <v>1076800</v>
      </c>
      <c r="R9">
        <v>551600</v>
      </c>
      <c r="S9">
        <v>534000</v>
      </c>
      <c r="T9">
        <v>1085600</v>
      </c>
    </row>
    <row r="10" spans="1:20" x14ac:dyDescent="0.35">
      <c r="A10">
        <v>8</v>
      </c>
      <c r="B10" t="s">
        <v>36</v>
      </c>
      <c r="C10">
        <v>21574</v>
      </c>
      <c r="D10">
        <v>20084</v>
      </c>
      <c r="E10">
        <v>41671</v>
      </c>
      <c r="F10">
        <v>29510</v>
      </c>
      <c r="G10">
        <v>26305</v>
      </c>
      <c r="H10">
        <v>55818</v>
      </c>
      <c r="I10">
        <v>17857</v>
      </c>
      <c r="J10">
        <v>15075</v>
      </c>
      <c r="K10">
        <v>32923</v>
      </c>
      <c r="L10">
        <v>47367</v>
      </c>
      <c r="M10">
        <v>41379</v>
      </c>
      <c r="N10">
        <v>88741</v>
      </c>
      <c r="O10">
        <v>11671</v>
      </c>
      <c r="P10">
        <v>9212</v>
      </c>
      <c r="Q10">
        <v>20870</v>
      </c>
      <c r="R10">
        <v>13453</v>
      </c>
      <c r="S10">
        <v>8273</v>
      </c>
      <c r="T10">
        <v>21682</v>
      </c>
    </row>
    <row r="11" spans="1:20" x14ac:dyDescent="0.35">
      <c r="A11">
        <v>9</v>
      </c>
      <c r="B11" t="s">
        <v>38</v>
      </c>
      <c r="C11">
        <v>676057</v>
      </c>
      <c r="D11">
        <v>581959</v>
      </c>
      <c r="E11">
        <v>1257950</v>
      </c>
      <c r="F11">
        <v>902076</v>
      </c>
      <c r="G11">
        <v>741998</v>
      </c>
      <c r="H11">
        <v>1643206</v>
      </c>
      <c r="I11">
        <v>536875</v>
      </c>
      <c r="J11">
        <v>449047</v>
      </c>
      <c r="K11">
        <v>985095</v>
      </c>
      <c r="L11">
        <v>1438951</v>
      </c>
      <c r="M11">
        <v>1191045</v>
      </c>
      <c r="N11">
        <v>2628301</v>
      </c>
      <c r="O11">
        <v>370876</v>
      </c>
      <c r="P11">
        <v>321006</v>
      </c>
      <c r="Q11">
        <v>691886</v>
      </c>
      <c r="R11">
        <v>394493</v>
      </c>
      <c r="S11">
        <v>333660</v>
      </c>
      <c r="T11">
        <v>727971</v>
      </c>
    </row>
    <row r="12" spans="1:20" x14ac:dyDescent="0.35">
      <c r="A12">
        <v>10</v>
      </c>
      <c r="B12" t="s">
        <v>40</v>
      </c>
      <c r="C12">
        <v>38037</v>
      </c>
      <c r="D12">
        <v>36301</v>
      </c>
      <c r="E12">
        <v>74412</v>
      </c>
      <c r="F12">
        <v>49972</v>
      </c>
      <c r="G12">
        <v>47301</v>
      </c>
      <c r="H12">
        <v>97368</v>
      </c>
      <c r="I12">
        <v>32863</v>
      </c>
      <c r="J12">
        <v>29901</v>
      </c>
      <c r="K12">
        <v>62818</v>
      </c>
      <c r="L12">
        <v>82835</v>
      </c>
      <c r="M12">
        <v>77202</v>
      </c>
      <c r="N12">
        <v>160186</v>
      </c>
      <c r="O12">
        <v>22485</v>
      </c>
      <c r="P12">
        <v>20271</v>
      </c>
      <c r="Q12">
        <v>42791</v>
      </c>
      <c r="R12">
        <v>22445</v>
      </c>
      <c r="S12">
        <v>20143</v>
      </c>
      <c r="T12">
        <v>42623</v>
      </c>
    </row>
    <row r="13" spans="1:20" x14ac:dyDescent="0.35">
      <c r="A13">
        <v>11</v>
      </c>
      <c r="B13" t="s">
        <v>42</v>
      </c>
      <c r="C13">
        <v>2396321</v>
      </c>
      <c r="D13">
        <v>2061356</v>
      </c>
      <c r="E13">
        <v>4458326</v>
      </c>
      <c r="F13">
        <v>3064387</v>
      </c>
      <c r="G13">
        <v>2569288</v>
      </c>
      <c r="H13">
        <v>5632742</v>
      </c>
      <c r="I13">
        <v>1776473</v>
      </c>
      <c r="J13">
        <v>1536383</v>
      </c>
      <c r="K13">
        <v>3311988</v>
      </c>
      <c r="L13">
        <v>4840859</v>
      </c>
      <c r="M13">
        <v>4105672</v>
      </c>
      <c r="N13">
        <v>8944730</v>
      </c>
      <c r="O13">
        <v>1190705</v>
      </c>
      <c r="P13">
        <v>1037165</v>
      </c>
      <c r="Q13">
        <v>2227808</v>
      </c>
      <c r="R13">
        <v>1218784</v>
      </c>
      <c r="S13">
        <v>1056530</v>
      </c>
      <c r="T13">
        <v>2275055</v>
      </c>
    </row>
    <row r="14" spans="1:20" x14ac:dyDescent="0.35">
      <c r="A14">
        <v>12</v>
      </c>
      <c r="B14" t="s">
        <v>44</v>
      </c>
      <c r="C14">
        <v>1032800</v>
      </c>
      <c r="D14">
        <v>881200</v>
      </c>
      <c r="E14">
        <v>1915000</v>
      </c>
      <c r="F14">
        <v>1358400</v>
      </c>
      <c r="G14">
        <v>1124200</v>
      </c>
      <c r="H14">
        <v>2481800</v>
      </c>
      <c r="I14">
        <v>801200</v>
      </c>
      <c r="J14">
        <v>663000</v>
      </c>
      <c r="K14">
        <v>1464000</v>
      </c>
      <c r="L14">
        <v>2159600</v>
      </c>
      <c r="M14">
        <v>1787200</v>
      </c>
      <c r="N14">
        <v>3945800</v>
      </c>
      <c r="O14">
        <v>541200</v>
      </c>
      <c r="P14">
        <v>448600</v>
      </c>
      <c r="Q14">
        <v>990200</v>
      </c>
      <c r="R14">
        <v>554000</v>
      </c>
      <c r="S14">
        <v>461400</v>
      </c>
      <c r="T14">
        <v>1015200</v>
      </c>
    </row>
    <row r="15" spans="1:20" x14ac:dyDescent="0.35">
      <c r="A15">
        <v>13</v>
      </c>
      <c r="B15" t="s">
        <v>46</v>
      </c>
      <c r="C15">
        <v>177800</v>
      </c>
      <c r="D15">
        <v>162067</v>
      </c>
      <c r="E15">
        <v>340067</v>
      </c>
      <c r="F15">
        <v>263000</v>
      </c>
      <c r="G15">
        <v>236800</v>
      </c>
      <c r="H15">
        <v>501600</v>
      </c>
      <c r="I15">
        <v>173400</v>
      </c>
      <c r="J15">
        <v>154600</v>
      </c>
      <c r="K15">
        <v>326800</v>
      </c>
      <c r="L15">
        <v>436400</v>
      </c>
      <c r="M15">
        <v>391400</v>
      </c>
      <c r="N15">
        <v>828400</v>
      </c>
      <c r="O15">
        <v>120000</v>
      </c>
      <c r="P15">
        <v>106200</v>
      </c>
      <c r="Q15">
        <v>226200</v>
      </c>
      <c r="R15">
        <v>123400</v>
      </c>
      <c r="S15">
        <v>109400</v>
      </c>
      <c r="T15">
        <v>233200</v>
      </c>
    </row>
    <row r="16" spans="1:20" x14ac:dyDescent="0.35">
      <c r="A16">
        <v>14</v>
      </c>
      <c r="B16" t="s">
        <v>48</v>
      </c>
      <c r="C16">
        <v>318400</v>
      </c>
      <c r="D16">
        <v>298467</v>
      </c>
      <c r="E16">
        <v>615933</v>
      </c>
      <c r="F16">
        <v>499600</v>
      </c>
      <c r="G16">
        <v>458000</v>
      </c>
      <c r="H16">
        <v>957200</v>
      </c>
      <c r="I16">
        <v>433600</v>
      </c>
      <c r="J16">
        <v>374400</v>
      </c>
      <c r="K16">
        <v>808800</v>
      </c>
      <c r="L16">
        <v>933200</v>
      </c>
      <c r="M16">
        <v>832400</v>
      </c>
      <c r="N16">
        <v>1766000</v>
      </c>
      <c r="O16">
        <v>293400</v>
      </c>
      <c r="P16">
        <v>254800</v>
      </c>
      <c r="Q16">
        <v>548200</v>
      </c>
      <c r="R16">
        <v>298200</v>
      </c>
      <c r="S16">
        <v>260200</v>
      </c>
      <c r="T16">
        <v>558400</v>
      </c>
    </row>
    <row r="17" spans="1:20" x14ac:dyDescent="0.35">
      <c r="A17">
        <v>15</v>
      </c>
      <c r="B17" t="s">
        <v>50</v>
      </c>
      <c r="C17">
        <v>1513400</v>
      </c>
      <c r="D17">
        <v>1392800</v>
      </c>
      <c r="E17">
        <v>2906200</v>
      </c>
      <c r="F17">
        <v>1890400</v>
      </c>
      <c r="G17">
        <v>1720800</v>
      </c>
      <c r="H17">
        <v>3612800</v>
      </c>
      <c r="I17">
        <v>1179200</v>
      </c>
      <c r="J17">
        <v>1124400</v>
      </c>
      <c r="K17">
        <v>2302600</v>
      </c>
      <c r="L17">
        <v>3069600</v>
      </c>
      <c r="M17">
        <v>2845200</v>
      </c>
      <c r="N17">
        <v>5915400</v>
      </c>
      <c r="O17">
        <v>798200</v>
      </c>
      <c r="P17">
        <v>769800</v>
      </c>
      <c r="Q17">
        <v>1568000</v>
      </c>
      <c r="R17">
        <v>807600</v>
      </c>
      <c r="S17">
        <v>779000</v>
      </c>
      <c r="T17">
        <v>1586800</v>
      </c>
    </row>
    <row r="18" spans="1:20" x14ac:dyDescent="0.35">
      <c r="A18">
        <v>16</v>
      </c>
      <c r="B18" t="s">
        <v>52</v>
      </c>
      <c r="C18">
        <v>1905600</v>
      </c>
      <c r="D18">
        <v>1757400</v>
      </c>
      <c r="E18">
        <v>3663000</v>
      </c>
      <c r="F18">
        <v>2585800</v>
      </c>
      <c r="G18">
        <v>2364600</v>
      </c>
      <c r="H18">
        <v>4949600</v>
      </c>
      <c r="I18">
        <v>1553800</v>
      </c>
      <c r="J18">
        <v>1461800</v>
      </c>
      <c r="K18">
        <v>3014200</v>
      </c>
      <c r="L18">
        <v>4139600</v>
      </c>
      <c r="M18">
        <v>3826400</v>
      </c>
      <c r="N18">
        <v>7963800</v>
      </c>
      <c r="O18">
        <v>1052800</v>
      </c>
      <c r="P18">
        <v>994800</v>
      </c>
      <c r="Q18">
        <v>2048400</v>
      </c>
      <c r="R18">
        <v>1075600</v>
      </c>
      <c r="S18">
        <v>1012000</v>
      </c>
      <c r="T18">
        <v>2088200</v>
      </c>
    </row>
    <row r="19" spans="1:20" x14ac:dyDescent="0.35">
      <c r="A19">
        <v>17</v>
      </c>
      <c r="B19" t="s">
        <v>54</v>
      </c>
      <c r="C19">
        <v>939800</v>
      </c>
      <c r="D19">
        <v>902800</v>
      </c>
      <c r="E19">
        <v>1842600</v>
      </c>
      <c r="F19">
        <v>1223600</v>
      </c>
      <c r="G19">
        <v>1169600</v>
      </c>
      <c r="H19">
        <v>2393000</v>
      </c>
      <c r="I19">
        <v>758400</v>
      </c>
      <c r="J19">
        <v>728400</v>
      </c>
      <c r="K19">
        <v>1487600</v>
      </c>
      <c r="L19">
        <v>1982000</v>
      </c>
      <c r="M19">
        <v>1898000</v>
      </c>
      <c r="N19">
        <v>3880600</v>
      </c>
      <c r="O19">
        <v>514800</v>
      </c>
      <c r="P19">
        <v>492800</v>
      </c>
      <c r="Q19">
        <v>1006800</v>
      </c>
      <c r="R19">
        <v>518000</v>
      </c>
      <c r="S19">
        <v>496000</v>
      </c>
      <c r="T19">
        <v>1014000</v>
      </c>
    </row>
    <row r="20" spans="1:20" x14ac:dyDescent="0.35">
      <c r="A20">
        <v>18</v>
      </c>
      <c r="B20" t="s">
        <v>56</v>
      </c>
      <c r="C20">
        <v>8299</v>
      </c>
      <c r="D20">
        <v>8331</v>
      </c>
      <c r="E20">
        <v>16620</v>
      </c>
      <c r="F20">
        <v>10670</v>
      </c>
      <c r="G20">
        <v>10339</v>
      </c>
      <c r="H20">
        <v>20998</v>
      </c>
      <c r="I20">
        <v>6864</v>
      </c>
      <c r="J20">
        <v>6236</v>
      </c>
      <c r="K20">
        <v>13093</v>
      </c>
      <c r="L20">
        <v>17534</v>
      </c>
      <c r="M20">
        <v>16575</v>
      </c>
      <c r="N20">
        <v>34091</v>
      </c>
      <c r="O20">
        <v>4937</v>
      </c>
      <c r="P20">
        <v>4414</v>
      </c>
      <c r="Q20">
        <v>9347</v>
      </c>
      <c r="R20">
        <v>4634</v>
      </c>
      <c r="S20">
        <v>4629</v>
      </c>
      <c r="T20">
        <v>9258</v>
      </c>
    </row>
    <row r="21" spans="1:20" x14ac:dyDescent="0.35">
      <c r="A21">
        <v>19</v>
      </c>
      <c r="B21" t="s">
        <v>58</v>
      </c>
      <c r="C21">
        <v>1755</v>
      </c>
      <c r="D21">
        <v>1709</v>
      </c>
      <c r="E21">
        <v>3466</v>
      </c>
      <c r="F21">
        <v>2679</v>
      </c>
      <c r="G21">
        <v>2582</v>
      </c>
      <c r="H21">
        <v>5263</v>
      </c>
      <c r="I21">
        <v>1674</v>
      </c>
      <c r="J21">
        <v>1804</v>
      </c>
      <c r="K21">
        <v>3482</v>
      </c>
      <c r="L21">
        <v>4353</v>
      </c>
      <c r="M21">
        <v>4386</v>
      </c>
      <c r="N21">
        <v>8745</v>
      </c>
      <c r="O21">
        <v>1182</v>
      </c>
      <c r="P21">
        <v>1127</v>
      </c>
      <c r="Q21">
        <v>2311</v>
      </c>
      <c r="R21">
        <v>1150</v>
      </c>
      <c r="S21">
        <v>1172</v>
      </c>
      <c r="T21">
        <v>2325</v>
      </c>
    </row>
    <row r="22" spans="1:20" x14ac:dyDescent="0.35">
      <c r="A22">
        <v>20</v>
      </c>
      <c r="B22" t="s">
        <v>60</v>
      </c>
      <c r="C22">
        <v>3304620</v>
      </c>
      <c r="D22">
        <v>2840166</v>
      </c>
      <c r="E22">
        <v>6144740</v>
      </c>
      <c r="F22">
        <v>4570968</v>
      </c>
      <c r="G22">
        <v>3912156</v>
      </c>
      <c r="H22">
        <v>8481106</v>
      </c>
      <c r="I22">
        <v>2520318</v>
      </c>
      <c r="J22">
        <v>2205656</v>
      </c>
      <c r="K22">
        <v>4728612</v>
      </c>
      <c r="L22">
        <v>7091287</v>
      </c>
      <c r="M22">
        <v>6117812</v>
      </c>
      <c r="N22">
        <v>13209718</v>
      </c>
      <c r="O22">
        <v>1696947</v>
      </c>
      <c r="P22">
        <v>1475792</v>
      </c>
      <c r="Q22">
        <v>3173087</v>
      </c>
      <c r="R22">
        <v>1710431</v>
      </c>
      <c r="S22">
        <v>1480437</v>
      </c>
      <c r="T22">
        <v>3191156</v>
      </c>
    </row>
    <row r="23" spans="1:20" x14ac:dyDescent="0.35">
      <c r="A23">
        <v>21</v>
      </c>
      <c r="B23" t="s">
        <v>62</v>
      </c>
      <c r="C23">
        <v>3279267</v>
      </c>
      <c r="D23">
        <v>2870533</v>
      </c>
      <c r="E23">
        <v>6149800</v>
      </c>
      <c r="F23">
        <v>4760400</v>
      </c>
      <c r="G23">
        <v>4122400</v>
      </c>
      <c r="H23">
        <v>8884000</v>
      </c>
      <c r="I23">
        <v>3036600</v>
      </c>
      <c r="J23">
        <v>2690800</v>
      </c>
      <c r="K23">
        <v>5726400</v>
      </c>
      <c r="L23">
        <v>7797000</v>
      </c>
      <c r="M23">
        <v>6813200</v>
      </c>
      <c r="N23">
        <v>14610400</v>
      </c>
      <c r="O23">
        <v>2088200</v>
      </c>
      <c r="P23">
        <v>1853800</v>
      </c>
      <c r="Q23">
        <v>3942000</v>
      </c>
      <c r="R23">
        <v>2139000</v>
      </c>
      <c r="S23">
        <v>1899400</v>
      </c>
      <c r="T23">
        <v>4037600</v>
      </c>
    </row>
    <row r="24" spans="1:20" x14ac:dyDescent="0.35">
      <c r="A24">
        <v>22</v>
      </c>
      <c r="B24" t="s">
        <v>64</v>
      </c>
      <c r="C24">
        <v>77158</v>
      </c>
      <c r="D24">
        <v>70076</v>
      </c>
      <c r="E24">
        <v>147234</v>
      </c>
      <c r="F24">
        <v>112011</v>
      </c>
      <c r="G24">
        <v>102770</v>
      </c>
      <c r="H24">
        <v>214781</v>
      </c>
      <c r="I24">
        <v>85088</v>
      </c>
      <c r="J24">
        <v>79720</v>
      </c>
      <c r="K24">
        <v>164808</v>
      </c>
      <c r="L24">
        <v>197099</v>
      </c>
      <c r="M24">
        <v>182490</v>
      </c>
      <c r="N24">
        <v>379589</v>
      </c>
      <c r="O24">
        <v>59265</v>
      </c>
      <c r="P24">
        <v>56677</v>
      </c>
      <c r="Q24">
        <v>115942</v>
      </c>
      <c r="R24">
        <v>57197</v>
      </c>
      <c r="S24">
        <v>56266</v>
      </c>
      <c r="T24">
        <v>113462</v>
      </c>
    </row>
    <row r="25" spans="1:20" x14ac:dyDescent="0.35">
      <c r="A25">
        <v>23</v>
      </c>
      <c r="B25" t="s">
        <v>66</v>
      </c>
      <c r="C25">
        <v>112182</v>
      </c>
      <c r="D25">
        <v>106021</v>
      </c>
      <c r="E25">
        <v>218204</v>
      </c>
      <c r="F25">
        <v>144399</v>
      </c>
      <c r="G25">
        <v>136504</v>
      </c>
      <c r="H25">
        <v>280903</v>
      </c>
      <c r="I25">
        <v>102477</v>
      </c>
      <c r="J25">
        <v>99050</v>
      </c>
      <c r="K25">
        <v>201526</v>
      </c>
      <c r="L25">
        <v>246876</v>
      </c>
      <c r="M25">
        <v>235553</v>
      </c>
      <c r="N25">
        <v>482429</v>
      </c>
      <c r="O25">
        <v>67744</v>
      </c>
      <c r="P25">
        <v>65854</v>
      </c>
      <c r="Q25">
        <v>133598</v>
      </c>
      <c r="R25">
        <v>69503</v>
      </c>
      <c r="S25">
        <v>67107</v>
      </c>
      <c r="T25">
        <v>136610</v>
      </c>
    </row>
    <row r="26" spans="1:20" x14ac:dyDescent="0.35">
      <c r="A26">
        <v>24</v>
      </c>
      <c r="B26" t="s">
        <v>68</v>
      </c>
      <c r="C26">
        <v>32439</v>
      </c>
      <c r="D26">
        <v>30626</v>
      </c>
      <c r="E26">
        <v>63065</v>
      </c>
      <c r="F26">
        <v>44018</v>
      </c>
      <c r="G26">
        <v>41467</v>
      </c>
      <c r="H26">
        <v>85486</v>
      </c>
      <c r="I26">
        <v>31629</v>
      </c>
      <c r="J26">
        <v>29951</v>
      </c>
      <c r="K26">
        <v>61580</v>
      </c>
      <c r="L26">
        <v>75647</v>
      </c>
      <c r="M26">
        <v>71418</v>
      </c>
      <c r="N26">
        <v>147066</v>
      </c>
      <c r="O26">
        <v>21542</v>
      </c>
      <c r="P26">
        <v>20557</v>
      </c>
      <c r="Q26">
        <v>42099</v>
      </c>
      <c r="R26">
        <v>23317</v>
      </c>
      <c r="S26">
        <v>22390</v>
      </c>
      <c r="T26">
        <v>45706</v>
      </c>
    </row>
    <row r="27" spans="1:20" x14ac:dyDescent="0.35">
      <c r="A27">
        <v>25</v>
      </c>
      <c r="B27" t="s">
        <v>70</v>
      </c>
      <c r="C27">
        <v>60663</v>
      </c>
      <c r="D27">
        <v>55531</v>
      </c>
      <c r="E27">
        <v>116194</v>
      </c>
      <c r="F27">
        <v>90686</v>
      </c>
      <c r="G27">
        <v>82473</v>
      </c>
      <c r="H27">
        <v>173159</v>
      </c>
      <c r="I27">
        <v>68613</v>
      </c>
      <c r="J27">
        <v>62556</v>
      </c>
      <c r="K27">
        <v>131169</v>
      </c>
      <c r="L27">
        <v>159298</v>
      </c>
      <c r="M27">
        <v>145029</v>
      </c>
      <c r="N27">
        <v>304327</v>
      </c>
      <c r="O27">
        <v>47744</v>
      </c>
      <c r="P27">
        <v>43635</v>
      </c>
      <c r="Q27">
        <v>91379</v>
      </c>
      <c r="R27">
        <v>48490</v>
      </c>
      <c r="S27">
        <v>46174</v>
      </c>
      <c r="T27">
        <v>94664</v>
      </c>
    </row>
    <row r="28" spans="1:20" x14ac:dyDescent="0.35">
      <c r="A28">
        <v>26</v>
      </c>
      <c r="B28" t="s">
        <v>72</v>
      </c>
      <c r="C28">
        <v>1296600</v>
      </c>
      <c r="D28">
        <v>1221600</v>
      </c>
      <c r="E28">
        <v>2518333</v>
      </c>
      <c r="F28">
        <v>1833800</v>
      </c>
      <c r="G28">
        <v>1728200</v>
      </c>
      <c r="H28">
        <v>3561800</v>
      </c>
      <c r="I28">
        <v>1150200</v>
      </c>
      <c r="J28">
        <v>1088200</v>
      </c>
      <c r="K28">
        <v>2238400</v>
      </c>
      <c r="L28">
        <v>2984000</v>
      </c>
      <c r="M28">
        <v>2816400</v>
      </c>
      <c r="N28">
        <v>5800200</v>
      </c>
      <c r="O28">
        <v>784600</v>
      </c>
      <c r="P28">
        <v>746600</v>
      </c>
      <c r="Q28">
        <v>1532000</v>
      </c>
      <c r="R28">
        <v>800400</v>
      </c>
      <c r="S28">
        <v>764800</v>
      </c>
      <c r="T28">
        <v>1565600</v>
      </c>
    </row>
    <row r="29" spans="1:20" x14ac:dyDescent="0.35">
      <c r="A29">
        <v>27</v>
      </c>
      <c r="B29" t="s">
        <v>74</v>
      </c>
      <c r="C29">
        <v>33606</v>
      </c>
      <c r="D29">
        <v>32196</v>
      </c>
      <c r="E29">
        <v>65826</v>
      </c>
      <c r="F29">
        <v>45134</v>
      </c>
      <c r="G29">
        <v>42859</v>
      </c>
      <c r="H29">
        <v>88019</v>
      </c>
      <c r="I29">
        <v>29869</v>
      </c>
      <c r="J29">
        <v>27735</v>
      </c>
      <c r="K29">
        <v>57611</v>
      </c>
      <c r="L29">
        <v>75003</v>
      </c>
      <c r="M29">
        <v>70594</v>
      </c>
      <c r="N29">
        <v>145630</v>
      </c>
      <c r="O29">
        <v>20990</v>
      </c>
      <c r="P29">
        <v>18815</v>
      </c>
      <c r="Q29">
        <v>39800</v>
      </c>
      <c r="R29">
        <v>20415</v>
      </c>
      <c r="S29">
        <v>18424</v>
      </c>
      <c r="T29">
        <v>38836</v>
      </c>
    </row>
    <row r="30" spans="1:20" x14ac:dyDescent="0.35">
      <c r="A30">
        <v>28</v>
      </c>
      <c r="B30" t="s">
        <v>76</v>
      </c>
      <c r="C30">
        <v>757533</v>
      </c>
      <c r="D30">
        <v>667400</v>
      </c>
      <c r="E30">
        <v>1424933</v>
      </c>
      <c r="F30">
        <v>1108600</v>
      </c>
      <c r="G30">
        <v>959400</v>
      </c>
      <c r="H30">
        <v>2068000</v>
      </c>
      <c r="I30">
        <v>696000</v>
      </c>
      <c r="J30">
        <v>585000</v>
      </c>
      <c r="K30">
        <v>1280800</v>
      </c>
      <c r="L30">
        <v>1804600</v>
      </c>
      <c r="M30">
        <v>1544400</v>
      </c>
      <c r="N30">
        <v>3348800</v>
      </c>
      <c r="O30">
        <v>492400</v>
      </c>
      <c r="P30">
        <v>409200</v>
      </c>
      <c r="Q30">
        <v>901200</v>
      </c>
      <c r="R30">
        <v>515000</v>
      </c>
      <c r="S30">
        <v>424000</v>
      </c>
      <c r="T30">
        <v>938000</v>
      </c>
    </row>
    <row r="31" spans="1:20" x14ac:dyDescent="0.35">
      <c r="A31">
        <v>29</v>
      </c>
      <c r="B31" t="s">
        <v>78</v>
      </c>
      <c r="C31">
        <v>3218400</v>
      </c>
      <c r="D31">
        <v>2825400</v>
      </c>
      <c r="E31">
        <v>6043800</v>
      </c>
      <c r="F31">
        <v>4195000</v>
      </c>
      <c r="G31">
        <v>3635400</v>
      </c>
      <c r="H31">
        <v>7830600</v>
      </c>
      <c r="I31">
        <v>2398800</v>
      </c>
      <c r="J31">
        <v>2156800</v>
      </c>
      <c r="K31">
        <v>4555600</v>
      </c>
      <c r="L31">
        <v>6593800</v>
      </c>
      <c r="M31">
        <v>5792200</v>
      </c>
      <c r="N31">
        <v>12386200</v>
      </c>
      <c r="O31">
        <v>1588600</v>
      </c>
      <c r="P31">
        <v>1443600</v>
      </c>
      <c r="Q31">
        <v>3032200</v>
      </c>
      <c r="R31">
        <v>1606200</v>
      </c>
      <c r="S31">
        <v>1464200</v>
      </c>
      <c r="T31">
        <v>3070600</v>
      </c>
    </row>
    <row r="32" spans="1:20" x14ac:dyDescent="0.35">
      <c r="A32">
        <v>30</v>
      </c>
      <c r="B32" t="s">
        <v>80</v>
      </c>
      <c r="C32">
        <v>13422</v>
      </c>
      <c r="D32">
        <v>12362</v>
      </c>
      <c r="E32">
        <v>25784</v>
      </c>
      <c r="F32">
        <v>21993</v>
      </c>
      <c r="G32">
        <v>20907</v>
      </c>
      <c r="H32">
        <v>42900</v>
      </c>
      <c r="I32">
        <v>18166</v>
      </c>
      <c r="J32">
        <v>17384</v>
      </c>
      <c r="K32">
        <v>35550</v>
      </c>
      <c r="L32">
        <v>40160</v>
      </c>
      <c r="M32">
        <v>38290</v>
      </c>
      <c r="N32">
        <v>78450</v>
      </c>
      <c r="O32">
        <v>12733</v>
      </c>
      <c r="P32">
        <v>12423</v>
      </c>
      <c r="Q32">
        <v>25156</v>
      </c>
      <c r="R32">
        <v>14012</v>
      </c>
      <c r="S32">
        <v>13631</v>
      </c>
      <c r="T32">
        <v>27643</v>
      </c>
    </row>
    <row r="33" spans="1:20" x14ac:dyDescent="0.35">
      <c r="A33">
        <v>31</v>
      </c>
      <c r="B33" t="s">
        <v>82</v>
      </c>
      <c r="C33">
        <v>1935800</v>
      </c>
      <c r="D33">
        <v>1780000</v>
      </c>
      <c r="E33">
        <v>3716000</v>
      </c>
      <c r="F33">
        <v>2660000</v>
      </c>
      <c r="G33">
        <v>2415600</v>
      </c>
      <c r="H33">
        <v>5075600</v>
      </c>
      <c r="I33">
        <v>1619000</v>
      </c>
      <c r="J33">
        <v>1513000</v>
      </c>
      <c r="K33">
        <v>3131800</v>
      </c>
      <c r="L33">
        <v>4279000</v>
      </c>
      <c r="M33">
        <v>3928600</v>
      </c>
      <c r="N33">
        <v>8207400</v>
      </c>
      <c r="O33">
        <v>1099600</v>
      </c>
      <c r="P33">
        <v>1036200</v>
      </c>
      <c r="Q33">
        <v>2135800</v>
      </c>
      <c r="R33">
        <v>1120800</v>
      </c>
      <c r="S33">
        <v>1058000</v>
      </c>
      <c r="T33">
        <v>2178000</v>
      </c>
    </row>
    <row r="34" spans="1:20" x14ac:dyDescent="0.35">
      <c r="A34">
        <v>32</v>
      </c>
      <c r="B34" t="s">
        <v>84</v>
      </c>
      <c r="C34">
        <v>1067800</v>
      </c>
      <c r="D34">
        <v>971400</v>
      </c>
      <c r="E34">
        <v>2039000</v>
      </c>
      <c r="F34">
        <v>1403400</v>
      </c>
      <c r="G34">
        <v>1258600</v>
      </c>
      <c r="H34">
        <v>2663000</v>
      </c>
      <c r="I34">
        <v>857600</v>
      </c>
      <c r="J34">
        <v>796200</v>
      </c>
      <c r="K34">
        <v>1654600</v>
      </c>
      <c r="L34">
        <v>2261000</v>
      </c>
      <c r="M34">
        <v>2054800</v>
      </c>
      <c r="N34">
        <v>4317600</v>
      </c>
      <c r="O34">
        <v>590800</v>
      </c>
      <c r="P34">
        <v>553800</v>
      </c>
      <c r="Q34">
        <v>1144600</v>
      </c>
      <c r="R34">
        <v>614800</v>
      </c>
      <c r="S34">
        <v>577400</v>
      </c>
      <c r="T34">
        <v>1193200</v>
      </c>
    </row>
    <row r="35" spans="1:20" x14ac:dyDescent="0.35">
      <c r="A35">
        <v>33</v>
      </c>
      <c r="B35" t="s">
        <v>86</v>
      </c>
      <c r="C35">
        <v>96591</v>
      </c>
      <c r="D35">
        <v>90355</v>
      </c>
      <c r="E35">
        <v>186946</v>
      </c>
      <c r="F35">
        <v>127508</v>
      </c>
      <c r="G35">
        <v>118705</v>
      </c>
      <c r="H35">
        <v>246213</v>
      </c>
      <c r="I35">
        <v>97841</v>
      </c>
      <c r="J35">
        <v>92532</v>
      </c>
      <c r="K35">
        <v>190373</v>
      </c>
      <c r="L35">
        <v>225349</v>
      </c>
      <c r="M35">
        <v>211237</v>
      </c>
      <c r="N35">
        <v>436587</v>
      </c>
      <c r="O35">
        <v>67670</v>
      </c>
      <c r="P35">
        <v>64028</v>
      </c>
      <c r="Q35">
        <v>131698</v>
      </c>
      <c r="R35">
        <v>75516</v>
      </c>
      <c r="S35">
        <v>69038</v>
      </c>
      <c r="T35">
        <v>144553</v>
      </c>
    </row>
    <row r="36" spans="1:20" x14ac:dyDescent="0.35">
      <c r="A36">
        <v>34</v>
      </c>
      <c r="B36" t="s">
        <v>88</v>
      </c>
      <c r="C36">
        <v>9263831</v>
      </c>
      <c r="D36">
        <v>7903640</v>
      </c>
      <c r="E36">
        <v>17166757</v>
      </c>
      <c r="F36">
        <v>12865805</v>
      </c>
      <c r="G36">
        <v>10916218</v>
      </c>
      <c r="H36">
        <v>23778810</v>
      </c>
      <c r="I36">
        <v>6994105</v>
      </c>
      <c r="J36">
        <v>6144831</v>
      </c>
      <c r="K36">
        <v>13141037</v>
      </c>
      <c r="L36">
        <v>19859910</v>
      </c>
      <c r="M36">
        <v>17061049</v>
      </c>
      <c r="N36">
        <v>36919847</v>
      </c>
      <c r="O36">
        <v>4807747</v>
      </c>
      <c r="P36">
        <v>4212605</v>
      </c>
      <c r="Q36">
        <v>9020470</v>
      </c>
      <c r="R36">
        <v>4930965</v>
      </c>
      <c r="S36">
        <v>4316142</v>
      </c>
      <c r="T36">
        <v>9248386</v>
      </c>
    </row>
    <row r="37" spans="1:20" x14ac:dyDescent="0.35">
      <c r="A37">
        <v>35</v>
      </c>
      <c r="B37" t="s">
        <v>90</v>
      </c>
      <c r="C37">
        <v>370200</v>
      </c>
      <c r="D37">
        <v>319000</v>
      </c>
      <c r="E37">
        <v>689200</v>
      </c>
      <c r="F37">
        <v>473600</v>
      </c>
      <c r="G37">
        <v>395400</v>
      </c>
      <c r="H37">
        <v>868200</v>
      </c>
      <c r="I37">
        <v>300800</v>
      </c>
      <c r="J37">
        <v>259200</v>
      </c>
      <c r="K37">
        <v>560000</v>
      </c>
      <c r="L37">
        <v>774400</v>
      </c>
      <c r="M37">
        <v>654600</v>
      </c>
      <c r="N37">
        <v>1428200</v>
      </c>
      <c r="O37">
        <v>208600</v>
      </c>
      <c r="P37">
        <v>182800</v>
      </c>
      <c r="Q37">
        <v>391600</v>
      </c>
      <c r="R37">
        <v>216800</v>
      </c>
      <c r="S37">
        <v>190600</v>
      </c>
      <c r="T37">
        <v>408200</v>
      </c>
    </row>
    <row r="38" spans="1:20" x14ac:dyDescent="0.35">
      <c r="A38">
        <v>36</v>
      </c>
      <c r="B38" t="s">
        <v>92</v>
      </c>
      <c r="C38">
        <v>2398533</v>
      </c>
      <c r="D38">
        <v>2250267</v>
      </c>
      <c r="E38">
        <v>4648600</v>
      </c>
      <c r="F38">
        <v>3504600</v>
      </c>
      <c r="G38">
        <v>3302800</v>
      </c>
      <c r="H38">
        <v>6807000</v>
      </c>
      <c r="I38">
        <v>2247000</v>
      </c>
      <c r="J38">
        <v>2170000</v>
      </c>
      <c r="K38">
        <v>4417000</v>
      </c>
      <c r="L38">
        <v>5751600</v>
      </c>
      <c r="M38">
        <v>5472800</v>
      </c>
      <c r="N38">
        <v>11224000</v>
      </c>
      <c r="O38">
        <v>1568200</v>
      </c>
      <c r="P38">
        <v>1509400</v>
      </c>
      <c r="Q38">
        <v>3077600</v>
      </c>
      <c r="R38">
        <v>1625000</v>
      </c>
      <c r="S38">
        <v>1560600</v>
      </c>
      <c r="T38">
        <v>3185600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9AA27-97BE-4AA5-92B3-B4501F02A2BB}">
  <sheetPr codeName="Sheet1"/>
  <dimension ref="A1:T38"/>
  <sheetViews>
    <sheetView topLeftCell="T1" workbookViewId="0">
      <selection activeCell="W10" sqref="W10"/>
    </sheetView>
  </sheetViews>
  <sheetFormatPr defaultRowHeight="14.5" x14ac:dyDescent="0.35"/>
  <cols>
    <col min="1" max="1" width="8.36328125" bestFit="1" customWidth="1"/>
    <col min="2" max="2" width="38.08984375" bestFit="1" customWidth="1"/>
    <col min="3" max="3" width="56.26953125" bestFit="1" customWidth="1"/>
    <col min="4" max="4" width="58.36328125" bestFit="1" customWidth="1"/>
    <col min="5" max="5" width="58.90625" bestFit="1" customWidth="1"/>
    <col min="6" max="6" width="59.54296875" bestFit="1" customWidth="1"/>
    <col min="7" max="7" width="59.36328125" bestFit="1" customWidth="1"/>
    <col min="8" max="8" width="59.90625" bestFit="1" customWidth="1"/>
    <col min="9" max="9" width="58.26953125" bestFit="1" customWidth="1"/>
    <col min="10" max="10" width="60.36328125" bestFit="1" customWidth="1"/>
    <col min="11" max="11" width="60.90625" bestFit="1" customWidth="1"/>
    <col min="12" max="12" width="57.26953125" bestFit="1" customWidth="1"/>
    <col min="13" max="13" width="59.36328125" bestFit="1" customWidth="1"/>
    <col min="14" max="14" width="57.6328125" bestFit="1" customWidth="1"/>
    <col min="15" max="15" width="58.26953125" bestFit="1" customWidth="1"/>
    <col min="16" max="16" width="58.08984375" bestFit="1" customWidth="1"/>
    <col min="17" max="17" width="58.6328125" bestFit="1" customWidth="1"/>
    <col min="18" max="18" width="58.26953125" bestFit="1" customWidth="1"/>
    <col min="19" max="19" width="58.08984375" bestFit="1" customWidth="1"/>
    <col min="20" max="20" width="58.6328125" bestFit="1" customWidth="1"/>
    <col min="21" max="21" width="27.7265625" bestFit="1" customWidth="1"/>
  </cols>
  <sheetData>
    <row r="1" spans="1:20" x14ac:dyDescent="0.3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row>
    <row r="2" spans="1:20" x14ac:dyDescent="0.35">
      <c r="A2" s="1" t="s">
        <v>20</v>
      </c>
      <c r="B2" s="1" t="s">
        <v>20</v>
      </c>
      <c r="C2" s="1">
        <v>45529499</v>
      </c>
      <c r="D2" s="1">
        <v>40227065</v>
      </c>
      <c r="E2" s="1">
        <v>85753425</v>
      </c>
      <c r="F2" s="1">
        <v>62278594</v>
      </c>
      <c r="G2" s="1">
        <v>54622457</v>
      </c>
      <c r="H2" s="1">
        <v>116897134</v>
      </c>
      <c r="I2" s="1">
        <v>36978787</v>
      </c>
      <c r="J2" s="1">
        <v>33420625</v>
      </c>
      <c r="K2" s="1">
        <v>70402494</v>
      </c>
      <c r="L2" s="1">
        <v>99257381</v>
      </c>
      <c r="M2" s="1">
        <v>88043082</v>
      </c>
      <c r="N2" s="1">
        <v>187299628</v>
      </c>
      <c r="O2" s="1">
        <v>25151910</v>
      </c>
      <c r="P2" s="1">
        <v>22762376</v>
      </c>
      <c r="Q2" s="1">
        <v>47919989</v>
      </c>
      <c r="R2" s="1">
        <v>25683007</v>
      </c>
      <c r="S2" s="1">
        <v>23201244</v>
      </c>
      <c r="T2" s="1">
        <v>48887349</v>
      </c>
    </row>
    <row r="3" spans="1:20" x14ac:dyDescent="0.35">
      <c r="A3" s="1" t="s">
        <v>21</v>
      </c>
      <c r="B3" s="1" t="s">
        <v>22</v>
      </c>
      <c r="C3" s="1">
        <v>9206</v>
      </c>
      <c r="D3" s="1">
        <v>9092</v>
      </c>
      <c r="E3" s="1">
        <v>18298</v>
      </c>
      <c r="F3" s="1">
        <v>14315</v>
      </c>
      <c r="G3" s="1">
        <v>13627</v>
      </c>
      <c r="H3" s="1">
        <v>27937</v>
      </c>
      <c r="I3" s="1">
        <v>9537</v>
      </c>
      <c r="J3" s="1">
        <v>8766</v>
      </c>
      <c r="K3" s="1">
        <v>18297</v>
      </c>
      <c r="L3" s="1">
        <v>23851</v>
      </c>
      <c r="M3" s="1">
        <v>22393</v>
      </c>
      <c r="N3" s="1">
        <v>46234</v>
      </c>
      <c r="O3" s="1">
        <v>6660</v>
      </c>
      <c r="P3" s="1">
        <v>5966</v>
      </c>
      <c r="Q3" s="1">
        <v>12620</v>
      </c>
      <c r="R3" s="1">
        <v>6675</v>
      </c>
      <c r="S3" s="1">
        <v>5682</v>
      </c>
      <c r="T3" s="1">
        <v>12349</v>
      </c>
    </row>
    <row r="4" spans="1:20" x14ac:dyDescent="0.35">
      <c r="A4" s="1" t="s">
        <v>23</v>
      </c>
      <c r="B4" s="1" t="s">
        <v>24</v>
      </c>
      <c r="C4" s="1">
        <v>1403600</v>
      </c>
      <c r="D4" s="1">
        <v>1294400</v>
      </c>
      <c r="E4" s="1">
        <v>2698000</v>
      </c>
      <c r="F4" s="1">
        <v>1881800</v>
      </c>
      <c r="G4" s="1">
        <v>1720000</v>
      </c>
      <c r="H4" s="1">
        <v>3602600</v>
      </c>
      <c r="I4" s="1">
        <v>1129400</v>
      </c>
      <c r="J4" s="1">
        <v>1067000</v>
      </c>
      <c r="K4" s="1">
        <v>2196200</v>
      </c>
      <c r="L4" s="1">
        <v>3011200</v>
      </c>
      <c r="M4" s="1">
        <v>2787000</v>
      </c>
      <c r="N4" s="1">
        <v>5798800</v>
      </c>
      <c r="O4" s="1">
        <v>776400</v>
      </c>
      <c r="P4" s="1">
        <v>738200</v>
      </c>
      <c r="Q4" s="1">
        <v>1514600</v>
      </c>
      <c r="R4" s="1">
        <v>811400</v>
      </c>
      <c r="S4" s="1">
        <v>769200</v>
      </c>
      <c r="T4" s="1">
        <v>1580400</v>
      </c>
    </row>
    <row r="5" spans="1:20" x14ac:dyDescent="0.35">
      <c r="A5" s="1" t="s">
        <v>25</v>
      </c>
      <c r="B5" s="1" t="s">
        <v>26</v>
      </c>
      <c r="C5" s="1">
        <v>43890</v>
      </c>
      <c r="D5" s="1">
        <v>41285</v>
      </c>
      <c r="E5" s="1">
        <v>85175</v>
      </c>
      <c r="F5" s="1">
        <v>64771</v>
      </c>
      <c r="G5" s="1">
        <v>61398</v>
      </c>
      <c r="H5" s="1">
        <v>126169</v>
      </c>
      <c r="I5" s="1">
        <v>47202</v>
      </c>
      <c r="J5" s="1">
        <v>46207</v>
      </c>
      <c r="K5" s="1">
        <v>93409</v>
      </c>
      <c r="L5" s="1">
        <v>111973</v>
      </c>
      <c r="M5" s="1">
        <v>107605</v>
      </c>
      <c r="N5" s="1">
        <v>219578</v>
      </c>
      <c r="O5" s="1">
        <v>33518</v>
      </c>
      <c r="P5" s="1">
        <v>32642</v>
      </c>
      <c r="Q5" s="1">
        <v>66159</v>
      </c>
      <c r="R5" s="1">
        <v>31750</v>
      </c>
      <c r="S5" s="1">
        <v>31026</v>
      </c>
      <c r="T5" s="1">
        <v>62776</v>
      </c>
    </row>
    <row r="6" spans="1:20" x14ac:dyDescent="0.35">
      <c r="A6" s="1" t="s">
        <v>27</v>
      </c>
      <c r="B6" s="1" t="s">
        <v>28</v>
      </c>
      <c r="C6" s="1">
        <v>1241400</v>
      </c>
      <c r="D6" s="1">
        <v>1143400</v>
      </c>
      <c r="E6" s="1">
        <v>2384800</v>
      </c>
      <c r="F6" s="1">
        <v>1565800</v>
      </c>
      <c r="G6" s="1">
        <v>1430200</v>
      </c>
      <c r="H6" s="1">
        <v>2995600</v>
      </c>
      <c r="I6" s="1">
        <v>988200</v>
      </c>
      <c r="J6" s="1">
        <v>944800</v>
      </c>
      <c r="K6" s="1">
        <v>1932600</v>
      </c>
      <c r="L6" s="1">
        <v>2554000</v>
      </c>
      <c r="M6" s="1">
        <v>2375000</v>
      </c>
      <c r="N6" s="1">
        <v>4928200</v>
      </c>
      <c r="O6" s="1">
        <v>672800</v>
      </c>
      <c r="P6" s="1">
        <v>649400</v>
      </c>
      <c r="Q6" s="1">
        <v>1323000</v>
      </c>
      <c r="R6" s="1">
        <v>684400</v>
      </c>
      <c r="S6" s="1">
        <v>658600</v>
      </c>
      <c r="T6" s="1">
        <v>1342200</v>
      </c>
    </row>
    <row r="7" spans="1:20" x14ac:dyDescent="0.35">
      <c r="A7" s="1" t="s">
        <v>29</v>
      </c>
      <c r="B7" s="1" t="s">
        <v>30</v>
      </c>
      <c r="C7" s="1">
        <v>5422577</v>
      </c>
      <c r="D7" s="1">
        <v>4588405</v>
      </c>
      <c r="E7" s="1">
        <v>10008613</v>
      </c>
      <c r="F7" s="1">
        <v>7435407</v>
      </c>
      <c r="G7" s="1">
        <v>6340892</v>
      </c>
      <c r="H7" s="1">
        <v>13775749</v>
      </c>
      <c r="I7" s="1">
        <v>4434567</v>
      </c>
      <c r="J7" s="1">
        <v>3983019</v>
      </c>
      <c r="K7" s="1">
        <v>8421806</v>
      </c>
      <c r="L7" s="1">
        <v>11869975</v>
      </c>
      <c r="M7" s="1">
        <v>10323912</v>
      </c>
      <c r="N7" s="1">
        <v>22197555</v>
      </c>
      <c r="O7" s="1">
        <v>2948313</v>
      </c>
      <c r="P7" s="1">
        <v>2624743</v>
      </c>
      <c r="Q7" s="1">
        <v>5576563</v>
      </c>
      <c r="R7" s="1">
        <v>2954931</v>
      </c>
      <c r="S7" s="1">
        <v>2615601</v>
      </c>
      <c r="T7" s="1">
        <v>5572746</v>
      </c>
    </row>
    <row r="8" spans="1:20" x14ac:dyDescent="0.35">
      <c r="A8" s="1" t="s">
        <v>31</v>
      </c>
      <c r="B8" s="1" t="s">
        <v>32</v>
      </c>
      <c r="C8" s="1">
        <v>30138</v>
      </c>
      <c r="D8" s="1">
        <v>27503</v>
      </c>
      <c r="E8" s="1">
        <v>57611</v>
      </c>
      <c r="F8" s="1">
        <v>46284</v>
      </c>
      <c r="G8" s="1">
        <v>39268</v>
      </c>
      <c r="H8" s="1">
        <v>85509</v>
      </c>
      <c r="I8" s="1">
        <v>29769</v>
      </c>
      <c r="J8" s="1">
        <v>22971</v>
      </c>
      <c r="K8" s="1">
        <v>52715</v>
      </c>
      <c r="L8" s="1">
        <v>76053</v>
      </c>
      <c r="M8" s="1">
        <v>62239</v>
      </c>
      <c r="N8" s="1">
        <v>138224</v>
      </c>
      <c r="O8" s="1">
        <v>20980</v>
      </c>
      <c r="P8" s="1">
        <v>16245</v>
      </c>
      <c r="Q8" s="1">
        <v>37207</v>
      </c>
      <c r="R8" s="1">
        <v>22647</v>
      </c>
      <c r="S8" s="1">
        <v>16120</v>
      </c>
      <c r="T8" s="1">
        <v>38749</v>
      </c>
    </row>
    <row r="9" spans="1:20" x14ac:dyDescent="0.35">
      <c r="A9" s="1" t="s">
        <v>33</v>
      </c>
      <c r="B9" s="1" t="s">
        <v>34</v>
      </c>
      <c r="C9" s="1">
        <v>1030200</v>
      </c>
      <c r="D9" s="1">
        <v>971933</v>
      </c>
      <c r="E9" s="1">
        <v>2001267</v>
      </c>
      <c r="F9" s="1">
        <v>1428200</v>
      </c>
      <c r="G9" s="1">
        <v>1353400</v>
      </c>
      <c r="H9" s="1">
        <v>2782600</v>
      </c>
      <c r="I9" s="1">
        <v>813800</v>
      </c>
      <c r="J9" s="1">
        <v>784200</v>
      </c>
      <c r="K9" s="1">
        <v>1597200</v>
      </c>
      <c r="L9" s="1">
        <v>2242000</v>
      </c>
      <c r="M9" s="1">
        <v>2137600</v>
      </c>
      <c r="N9" s="1">
        <v>4379800</v>
      </c>
      <c r="O9" s="1">
        <v>547600</v>
      </c>
      <c r="P9" s="1">
        <v>529200</v>
      </c>
      <c r="Q9" s="1">
        <v>1076800</v>
      </c>
      <c r="R9" s="1">
        <v>551600</v>
      </c>
      <c r="S9" s="1">
        <v>534000</v>
      </c>
      <c r="T9" s="1">
        <v>1085600</v>
      </c>
    </row>
    <row r="10" spans="1:20" x14ac:dyDescent="0.35">
      <c r="A10" s="1" t="s">
        <v>35</v>
      </c>
      <c r="B10" s="1" t="s">
        <v>36</v>
      </c>
      <c r="C10" s="1">
        <v>21574</v>
      </c>
      <c r="D10" s="1">
        <v>20084</v>
      </c>
      <c r="E10" s="1">
        <v>41671</v>
      </c>
      <c r="F10" s="1">
        <v>29510</v>
      </c>
      <c r="G10" s="1">
        <v>26305</v>
      </c>
      <c r="H10" s="1">
        <v>55818</v>
      </c>
      <c r="I10" s="1">
        <v>17857</v>
      </c>
      <c r="J10" s="1">
        <v>15075</v>
      </c>
      <c r="K10" s="1">
        <v>32923</v>
      </c>
      <c r="L10" s="1">
        <v>47367</v>
      </c>
      <c r="M10" s="1">
        <v>41379</v>
      </c>
      <c r="N10" s="1">
        <v>88741</v>
      </c>
      <c r="O10" s="1">
        <v>11671</v>
      </c>
      <c r="P10" s="1">
        <v>9212</v>
      </c>
      <c r="Q10" s="1">
        <v>20870</v>
      </c>
      <c r="R10" s="1">
        <v>13453</v>
      </c>
      <c r="S10" s="1">
        <v>8273</v>
      </c>
      <c r="T10" s="1">
        <v>21682</v>
      </c>
    </row>
    <row r="11" spans="1:20" x14ac:dyDescent="0.35">
      <c r="A11" s="1" t="s">
        <v>37</v>
      </c>
      <c r="B11" s="1" t="s">
        <v>38</v>
      </c>
      <c r="C11" s="1">
        <v>676057</v>
      </c>
      <c r="D11" s="1">
        <v>581959</v>
      </c>
      <c r="E11" s="1">
        <v>1257950</v>
      </c>
      <c r="F11" s="1">
        <v>902076</v>
      </c>
      <c r="G11" s="1">
        <v>741998</v>
      </c>
      <c r="H11" s="1">
        <v>1643206</v>
      </c>
      <c r="I11" s="1">
        <v>536875</v>
      </c>
      <c r="J11" s="1">
        <v>449047</v>
      </c>
      <c r="K11" s="1">
        <v>985095</v>
      </c>
      <c r="L11" s="1">
        <v>1438951</v>
      </c>
      <c r="M11" s="1">
        <v>1191045</v>
      </c>
      <c r="N11" s="1">
        <v>2628301</v>
      </c>
      <c r="O11" s="1">
        <v>370876</v>
      </c>
      <c r="P11" s="1">
        <v>321006</v>
      </c>
      <c r="Q11" s="1">
        <v>691886</v>
      </c>
      <c r="R11" s="1">
        <v>394493</v>
      </c>
      <c r="S11" s="1">
        <v>333660</v>
      </c>
      <c r="T11" s="1">
        <v>727971</v>
      </c>
    </row>
    <row r="12" spans="1:20" x14ac:dyDescent="0.35">
      <c r="A12" s="1" t="s">
        <v>39</v>
      </c>
      <c r="B12" s="1" t="s">
        <v>40</v>
      </c>
      <c r="C12" s="1">
        <v>38037</v>
      </c>
      <c r="D12" s="1">
        <v>36301</v>
      </c>
      <c r="E12" s="1">
        <v>74412</v>
      </c>
      <c r="F12" s="1">
        <v>49972</v>
      </c>
      <c r="G12" s="1">
        <v>47301</v>
      </c>
      <c r="H12" s="1">
        <v>97368</v>
      </c>
      <c r="I12" s="1">
        <v>32863</v>
      </c>
      <c r="J12" s="1">
        <v>29901</v>
      </c>
      <c r="K12" s="1">
        <v>62818</v>
      </c>
      <c r="L12" s="1">
        <v>82835</v>
      </c>
      <c r="M12" s="1">
        <v>77202</v>
      </c>
      <c r="N12" s="1">
        <v>160186</v>
      </c>
      <c r="O12" s="1">
        <v>22485</v>
      </c>
      <c r="P12" s="1">
        <v>20271</v>
      </c>
      <c r="Q12" s="1">
        <v>42791</v>
      </c>
      <c r="R12" s="1">
        <v>22445</v>
      </c>
      <c r="S12" s="1">
        <v>20143</v>
      </c>
      <c r="T12" s="1">
        <v>42623</v>
      </c>
    </row>
    <row r="13" spans="1:20" x14ac:dyDescent="0.35">
      <c r="A13" s="1" t="s">
        <v>41</v>
      </c>
      <c r="B13" s="1" t="s">
        <v>42</v>
      </c>
      <c r="C13" s="1">
        <v>2396321</v>
      </c>
      <c r="D13" s="1">
        <v>2061356</v>
      </c>
      <c r="E13" s="1">
        <v>4458326</v>
      </c>
      <c r="F13" s="1">
        <v>3064387</v>
      </c>
      <c r="G13" s="1">
        <v>2569288</v>
      </c>
      <c r="H13" s="1">
        <v>5632742</v>
      </c>
      <c r="I13" s="1">
        <v>1776473</v>
      </c>
      <c r="J13" s="1">
        <v>1536383</v>
      </c>
      <c r="K13" s="1">
        <v>3311988</v>
      </c>
      <c r="L13" s="1">
        <v>4840859</v>
      </c>
      <c r="M13" s="1">
        <v>4105672</v>
      </c>
      <c r="N13" s="1">
        <v>8944730</v>
      </c>
      <c r="O13" s="1">
        <v>1190705</v>
      </c>
      <c r="P13" s="1">
        <v>1037165</v>
      </c>
      <c r="Q13" s="1">
        <v>2227808</v>
      </c>
      <c r="R13" s="1">
        <v>1218784</v>
      </c>
      <c r="S13" s="1">
        <v>1056530</v>
      </c>
      <c r="T13" s="1">
        <v>2275055</v>
      </c>
    </row>
    <row r="14" spans="1:20" x14ac:dyDescent="0.35">
      <c r="A14" s="1" t="s">
        <v>43</v>
      </c>
      <c r="B14" s="1" t="s">
        <v>44</v>
      </c>
      <c r="C14" s="1">
        <v>1032800</v>
      </c>
      <c r="D14" s="1">
        <v>881200</v>
      </c>
      <c r="E14" s="1">
        <v>1915000</v>
      </c>
      <c r="F14" s="1">
        <v>1358400</v>
      </c>
      <c r="G14" s="1">
        <v>1124200</v>
      </c>
      <c r="H14" s="1">
        <v>2481800</v>
      </c>
      <c r="I14" s="1">
        <v>801200</v>
      </c>
      <c r="J14" s="1">
        <v>663000</v>
      </c>
      <c r="K14" s="1">
        <v>1464000</v>
      </c>
      <c r="L14" s="1">
        <v>2159600</v>
      </c>
      <c r="M14" s="1">
        <v>1787200</v>
      </c>
      <c r="N14" s="1">
        <v>3945800</v>
      </c>
      <c r="O14" s="1">
        <v>541200</v>
      </c>
      <c r="P14" s="1">
        <v>448600</v>
      </c>
      <c r="Q14" s="1">
        <v>990200</v>
      </c>
      <c r="R14" s="1">
        <v>554000</v>
      </c>
      <c r="S14" s="1">
        <v>461400</v>
      </c>
      <c r="T14" s="1">
        <v>1015200</v>
      </c>
    </row>
    <row r="15" spans="1:20" x14ac:dyDescent="0.35">
      <c r="A15" s="1" t="s">
        <v>45</v>
      </c>
      <c r="B15" s="1" t="s">
        <v>46</v>
      </c>
      <c r="C15" s="1">
        <v>177800</v>
      </c>
      <c r="D15" s="1">
        <v>162067</v>
      </c>
      <c r="E15" s="1">
        <v>340067</v>
      </c>
      <c r="F15" s="1">
        <v>263000</v>
      </c>
      <c r="G15" s="1">
        <v>236800</v>
      </c>
      <c r="H15" s="1">
        <v>501600</v>
      </c>
      <c r="I15" s="1">
        <v>173400</v>
      </c>
      <c r="J15" s="1">
        <v>154600</v>
      </c>
      <c r="K15" s="1">
        <v>326800</v>
      </c>
      <c r="L15" s="1">
        <v>436400</v>
      </c>
      <c r="M15" s="1">
        <v>391400</v>
      </c>
      <c r="N15" s="1">
        <v>828400</v>
      </c>
      <c r="O15" s="1">
        <v>120000</v>
      </c>
      <c r="P15" s="1">
        <v>106200</v>
      </c>
      <c r="Q15" s="1">
        <v>226200</v>
      </c>
      <c r="R15" s="1">
        <v>123400</v>
      </c>
      <c r="S15" s="1">
        <v>109400</v>
      </c>
      <c r="T15" s="1">
        <v>233200</v>
      </c>
    </row>
    <row r="16" spans="1:20" x14ac:dyDescent="0.35">
      <c r="A16" s="1" t="s">
        <v>47</v>
      </c>
      <c r="B16" s="1" t="s">
        <v>48</v>
      </c>
      <c r="C16" s="1">
        <v>318400</v>
      </c>
      <c r="D16" s="1">
        <v>298467</v>
      </c>
      <c r="E16" s="1">
        <v>615933</v>
      </c>
      <c r="F16" s="1">
        <v>499600</v>
      </c>
      <c r="G16" s="1">
        <v>458000</v>
      </c>
      <c r="H16" s="1">
        <v>957200</v>
      </c>
      <c r="I16" s="1">
        <v>433600</v>
      </c>
      <c r="J16" s="1">
        <v>374400</v>
      </c>
      <c r="K16" s="1">
        <v>808800</v>
      </c>
      <c r="L16" s="1">
        <v>933200</v>
      </c>
      <c r="M16" s="1">
        <v>832400</v>
      </c>
      <c r="N16" s="1">
        <v>1766000</v>
      </c>
      <c r="O16" s="1">
        <v>293400</v>
      </c>
      <c r="P16" s="1">
        <v>254800</v>
      </c>
      <c r="Q16" s="1">
        <v>548200</v>
      </c>
      <c r="R16" s="1">
        <v>298200</v>
      </c>
      <c r="S16" s="1">
        <v>260200</v>
      </c>
      <c r="T16" s="1">
        <v>558400</v>
      </c>
    </row>
    <row r="17" spans="1:20" x14ac:dyDescent="0.35">
      <c r="A17" s="1" t="s">
        <v>49</v>
      </c>
      <c r="B17" s="1" t="s">
        <v>50</v>
      </c>
      <c r="C17" s="1">
        <v>1513400</v>
      </c>
      <c r="D17" s="1">
        <v>1392800</v>
      </c>
      <c r="E17" s="1">
        <v>2906200</v>
      </c>
      <c r="F17" s="1">
        <v>1890400</v>
      </c>
      <c r="G17" s="1">
        <v>1720800</v>
      </c>
      <c r="H17" s="1">
        <v>3612800</v>
      </c>
      <c r="I17" s="1">
        <v>1179200</v>
      </c>
      <c r="J17" s="1">
        <v>1124400</v>
      </c>
      <c r="K17" s="1">
        <v>2302600</v>
      </c>
      <c r="L17" s="1">
        <v>3069600</v>
      </c>
      <c r="M17" s="1">
        <v>2845200</v>
      </c>
      <c r="N17" s="1">
        <v>5915400</v>
      </c>
      <c r="O17" s="1">
        <v>798200</v>
      </c>
      <c r="P17" s="1">
        <v>769800</v>
      </c>
      <c r="Q17" s="1">
        <v>1568000</v>
      </c>
      <c r="R17" s="1">
        <v>807600</v>
      </c>
      <c r="S17" s="1">
        <v>779000</v>
      </c>
      <c r="T17" s="1">
        <v>1586800</v>
      </c>
    </row>
    <row r="18" spans="1:20" x14ac:dyDescent="0.35">
      <c r="A18" s="1" t="s">
        <v>51</v>
      </c>
      <c r="B18" s="1" t="s">
        <v>52</v>
      </c>
      <c r="C18" s="1">
        <v>1905600</v>
      </c>
      <c r="D18" s="1">
        <v>1757400</v>
      </c>
      <c r="E18" s="1">
        <v>3663000</v>
      </c>
      <c r="F18" s="1">
        <v>2585800</v>
      </c>
      <c r="G18" s="1">
        <v>2364600</v>
      </c>
      <c r="H18" s="1">
        <v>4949600</v>
      </c>
      <c r="I18" s="1">
        <v>1553800</v>
      </c>
      <c r="J18" s="1">
        <v>1461800</v>
      </c>
      <c r="K18" s="1">
        <v>3014200</v>
      </c>
      <c r="L18" s="1">
        <v>4139600</v>
      </c>
      <c r="M18" s="1">
        <v>3826400</v>
      </c>
      <c r="N18" s="1">
        <v>7963800</v>
      </c>
      <c r="O18" s="1">
        <v>1052800</v>
      </c>
      <c r="P18" s="1">
        <v>994800</v>
      </c>
      <c r="Q18" s="1">
        <v>2048400</v>
      </c>
      <c r="R18" s="1">
        <v>1075600</v>
      </c>
      <c r="S18" s="1">
        <v>1012000</v>
      </c>
      <c r="T18" s="1">
        <v>2088200</v>
      </c>
    </row>
    <row r="19" spans="1:20" x14ac:dyDescent="0.35">
      <c r="A19" s="1" t="s">
        <v>53</v>
      </c>
      <c r="B19" s="1" t="s">
        <v>54</v>
      </c>
      <c r="C19" s="1">
        <v>939800</v>
      </c>
      <c r="D19" s="1">
        <v>902800</v>
      </c>
      <c r="E19" s="1">
        <v>1842600</v>
      </c>
      <c r="F19" s="1">
        <v>1223600</v>
      </c>
      <c r="G19" s="1">
        <v>1169600</v>
      </c>
      <c r="H19" s="1">
        <v>2393000</v>
      </c>
      <c r="I19" s="1">
        <v>758400</v>
      </c>
      <c r="J19" s="1">
        <v>728400</v>
      </c>
      <c r="K19" s="1">
        <v>1487600</v>
      </c>
      <c r="L19" s="1">
        <v>1982000</v>
      </c>
      <c r="M19" s="1">
        <v>1898000</v>
      </c>
      <c r="N19" s="1">
        <v>3880600</v>
      </c>
      <c r="O19" s="1">
        <v>514800</v>
      </c>
      <c r="P19" s="1">
        <v>492800</v>
      </c>
      <c r="Q19" s="1">
        <v>1006800</v>
      </c>
      <c r="R19" s="1">
        <v>518000</v>
      </c>
      <c r="S19" s="1">
        <v>496000</v>
      </c>
      <c r="T19" s="1">
        <v>1014000</v>
      </c>
    </row>
    <row r="20" spans="1:20" x14ac:dyDescent="0.35">
      <c r="A20" s="1" t="s">
        <v>55</v>
      </c>
      <c r="B20" s="1" t="s">
        <v>56</v>
      </c>
      <c r="C20" s="1">
        <v>8299</v>
      </c>
      <c r="D20" s="1">
        <v>8331</v>
      </c>
      <c r="E20" s="1">
        <v>16620</v>
      </c>
      <c r="F20" s="1">
        <v>10670</v>
      </c>
      <c r="G20" s="1">
        <v>10339</v>
      </c>
      <c r="H20" s="1">
        <v>20998</v>
      </c>
      <c r="I20" s="1">
        <v>6864</v>
      </c>
      <c r="J20" s="1">
        <v>6236</v>
      </c>
      <c r="K20" s="1">
        <v>13093</v>
      </c>
      <c r="L20" s="1">
        <v>17534</v>
      </c>
      <c r="M20" s="1">
        <v>16575</v>
      </c>
      <c r="N20" s="1">
        <v>34091</v>
      </c>
      <c r="O20" s="1">
        <v>4937</v>
      </c>
      <c r="P20" s="1">
        <v>4414</v>
      </c>
      <c r="Q20" s="1">
        <v>9347</v>
      </c>
      <c r="R20" s="1">
        <v>4634</v>
      </c>
      <c r="S20" s="1">
        <v>4629</v>
      </c>
      <c r="T20" s="1">
        <v>9258</v>
      </c>
    </row>
    <row r="21" spans="1:20" x14ac:dyDescent="0.35">
      <c r="A21" s="1" t="s">
        <v>57</v>
      </c>
      <c r="B21" s="1" t="s">
        <v>58</v>
      </c>
      <c r="C21" s="1">
        <v>1755</v>
      </c>
      <c r="D21" s="1">
        <v>1709</v>
      </c>
      <c r="E21" s="1">
        <v>3466</v>
      </c>
      <c r="F21" s="1">
        <v>2679</v>
      </c>
      <c r="G21" s="1">
        <v>2582</v>
      </c>
      <c r="H21" s="1">
        <v>5263</v>
      </c>
      <c r="I21" s="1">
        <v>1674</v>
      </c>
      <c r="J21" s="1">
        <v>1804</v>
      </c>
      <c r="K21" s="1">
        <v>3482</v>
      </c>
      <c r="L21" s="1">
        <v>4353</v>
      </c>
      <c r="M21" s="1">
        <v>4386</v>
      </c>
      <c r="N21" s="1">
        <v>8745</v>
      </c>
      <c r="O21" s="1">
        <v>1182</v>
      </c>
      <c r="P21" s="1">
        <v>1127</v>
      </c>
      <c r="Q21" s="1">
        <v>2311</v>
      </c>
      <c r="R21" s="1">
        <v>1150</v>
      </c>
      <c r="S21" s="1">
        <v>1172</v>
      </c>
      <c r="T21" s="1">
        <v>2325</v>
      </c>
    </row>
    <row r="22" spans="1:20" x14ac:dyDescent="0.35">
      <c r="A22" s="1" t="s">
        <v>59</v>
      </c>
      <c r="B22" s="1" t="s">
        <v>60</v>
      </c>
      <c r="C22" s="1">
        <v>3304620</v>
      </c>
      <c r="D22" s="1">
        <v>2840166</v>
      </c>
      <c r="E22" s="1">
        <v>6144740</v>
      </c>
      <c r="F22" s="1">
        <v>4570968</v>
      </c>
      <c r="G22" s="1">
        <v>3912156</v>
      </c>
      <c r="H22" s="1">
        <v>8481106</v>
      </c>
      <c r="I22" s="1">
        <v>2520318</v>
      </c>
      <c r="J22" s="1">
        <v>2205656</v>
      </c>
      <c r="K22" s="1">
        <v>4728612</v>
      </c>
      <c r="L22" s="1">
        <v>7091287</v>
      </c>
      <c r="M22" s="1">
        <v>6117812</v>
      </c>
      <c r="N22" s="1">
        <v>13209718</v>
      </c>
      <c r="O22" s="1">
        <v>1696947</v>
      </c>
      <c r="P22" s="1">
        <v>1475792</v>
      </c>
      <c r="Q22" s="1">
        <v>3173087</v>
      </c>
      <c r="R22" s="1">
        <v>1710431</v>
      </c>
      <c r="S22" s="1">
        <v>1480437</v>
      </c>
      <c r="T22" s="1">
        <v>3191156</v>
      </c>
    </row>
    <row r="23" spans="1:20" x14ac:dyDescent="0.35">
      <c r="A23" s="1" t="s">
        <v>61</v>
      </c>
      <c r="B23" s="1" t="s">
        <v>62</v>
      </c>
      <c r="C23" s="1">
        <v>3279267</v>
      </c>
      <c r="D23" s="1">
        <v>2870533</v>
      </c>
      <c r="E23" s="1">
        <v>6149800</v>
      </c>
      <c r="F23" s="1">
        <v>4760400</v>
      </c>
      <c r="G23" s="1">
        <v>4122400</v>
      </c>
      <c r="H23" s="1">
        <v>8884000</v>
      </c>
      <c r="I23" s="1">
        <v>3036600</v>
      </c>
      <c r="J23" s="1">
        <v>2690800</v>
      </c>
      <c r="K23" s="1">
        <v>5726400</v>
      </c>
      <c r="L23" s="1">
        <v>7797000</v>
      </c>
      <c r="M23" s="1">
        <v>6813200</v>
      </c>
      <c r="N23" s="1">
        <v>14610400</v>
      </c>
      <c r="O23" s="1">
        <v>2088200</v>
      </c>
      <c r="P23" s="1">
        <v>1853800</v>
      </c>
      <c r="Q23" s="1">
        <v>3942000</v>
      </c>
      <c r="R23" s="1">
        <v>2139000</v>
      </c>
      <c r="S23" s="1">
        <v>1899400</v>
      </c>
      <c r="T23" s="1">
        <v>4037600</v>
      </c>
    </row>
    <row r="24" spans="1:20" x14ac:dyDescent="0.35">
      <c r="A24" s="1" t="s">
        <v>63</v>
      </c>
      <c r="B24" s="1" t="s">
        <v>64</v>
      </c>
      <c r="C24" s="1">
        <v>77158</v>
      </c>
      <c r="D24" s="1">
        <v>70076</v>
      </c>
      <c r="E24" s="1">
        <v>147234</v>
      </c>
      <c r="F24" s="1">
        <v>112011</v>
      </c>
      <c r="G24" s="1">
        <v>102770</v>
      </c>
      <c r="H24" s="1">
        <v>214781</v>
      </c>
      <c r="I24" s="1">
        <v>85088</v>
      </c>
      <c r="J24" s="1">
        <v>79720</v>
      </c>
      <c r="K24" s="1">
        <v>164808</v>
      </c>
      <c r="L24" s="1">
        <v>197099</v>
      </c>
      <c r="M24" s="1">
        <v>182490</v>
      </c>
      <c r="N24" s="1">
        <v>379589</v>
      </c>
      <c r="O24" s="1">
        <v>59265</v>
      </c>
      <c r="P24" s="1">
        <v>56677</v>
      </c>
      <c r="Q24" s="1">
        <v>115942</v>
      </c>
      <c r="R24" s="1">
        <v>57197</v>
      </c>
      <c r="S24" s="1">
        <v>56266</v>
      </c>
      <c r="T24" s="1">
        <v>113462</v>
      </c>
    </row>
    <row r="25" spans="1:20" x14ac:dyDescent="0.35">
      <c r="A25" s="1" t="s">
        <v>65</v>
      </c>
      <c r="B25" s="1" t="s">
        <v>66</v>
      </c>
      <c r="C25" s="1">
        <v>112182</v>
      </c>
      <c r="D25" s="1">
        <v>106021</v>
      </c>
      <c r="E25" s="1">
        <v>218204</v>
      </c>
      <c r="F25" s="1">
        <v>144399</v>
      </c>
      <c r="G25" s="1">
        <v>136504</v>
      </c>
      <c r="H25" s="1">
        <v>280903</v>
      </c>
      <c r="I25" s="1">
        <v>102477</v>
      </c>
      <c r="J25" s="1">
        <v>99050</v>
      </c>
      <c r="K25" s="1">
        <v>201526</v>
      </c>
      <c r="L25" s="1">
        <v>246876</v>
      </c>
      <c r="M25" s="1">
        <v>235553</v>
      </c>
      <c r="N25" s="1">
        <v>482429</v>
      </c>
      <c r="O25" s="1">
        <v>67744</v>
      </c>
      <c r="P25" s="1">
        <v>65854</v>
      </c>
      <c r="Q25" s="1">
        <v>133598</v>
      </c>
      <c r="R25" s="1">
        <v>69503</v>
      </c>
      <c r="S25" s="1">
        <v>67107</v>
      </c>
      <c r="T25" s="1">
        <v>136610</v>
      </c>
    </row>
    <row r="26" spans="1:20" x14ac:dyDescent="0.35">
      <c r="A26" s="1" t="s">
        <v>67</v>
      </c>
      <c r="B26" s="1" t="s">
        <v>68</v>
      </c>
      <c r="C26" s="1">
        <v>32439</v>
      </c>
      <c r="D26" s="1">
        <v>30626</v>
      </c>
      <c r="E26" s="1">
        <v>63065</v>
      </c>
      <c r="F26" s="1">
        <v>44018</v>
      </c>
      <c r="G26" s="1">
        <v>41467</v>
      </c>
      <c r="H26" s="1">
        <v>85486</v>
      </c>
      <c r="I26" s="1">
        <v>31629</v>
      </c>
      <c r="J26" s="1">
        <v>29951</v>
      </c>
      <c r="K26" s="1">
        <v>61580</v>
      </c>
      <c r="L26" s="1">
        <v>75647</v>
      </c>
      <c r="M26" s="1">
        <v>71418</v>
      </c>
      <c r="N26" s="1">
        <v>147066</v>
      </c>
      <c r="O26" s="1">
        <v>21542</v>
      </c>
      <c r="P26" s="1">
        <v>20557</v>
      </c>
      <c r="Q26" s="1">
        <v>42099</v>
      </c>
      <c r="R26" s="1">
        <v>23317</v>
      </c>
      <c r="S26" s="1">
        <v>22390</v>
      </c>
      <c r="T26" s="1">
        <v>45706</v>
      </c>
    </row>
    <row r="27" spans="1:20" x14ac:dyDescent="0.35">
      <c r="A27" s="1" t="s">
        <v>69</v>
      </c>
      <c r="B27" s="1" t="s">
        <v>70</v>
      </c>
      <c r="C27" s="1">
        <v>60663</v>
      </c>
      <c r="D27" s="1">
        <v>55531</v>
      </c>
      <c r="E27" s="1">
        <v>116194</v>
      </c>
      <c r="F27" s="1">
        <v>90686</v>
      </c>
      <c r="G27" s="1">
        <v>82473</v>
      </c>
      <c r="H27" s="1">
        <v>173159</v>
      </c>
      <c r="I27" s="1">
        <v>68613</v>
      </c>
      <c r="J27" s="1">
        <v>62556</v>
      </c>
      <c r="K27" s="1">
        <v>131169</v>
      </c>
      <c r="L27" s="1">
        <v>159298</v>
      </c>
      <c r="M27" s="1">
        <v>145029</v>
      </c>
      <c r="N27" s="1">
        <v>304327</v>
      </c>
      <c r="O27" s="1">
        <v>47744</v>
      </c>
      <c r="P27" s="1">
        <v>43635</v>
      </c>
      <c r="Q27" s="1">
        <v>91379</v>
      </c>
      <c r="R27" s="1">
        <v>48490</v>
      </c>
      <c r="S27" s="1">
        <v>46174</v>
      </c>
      <c r="T27" s="1">
        <v>94664</v>
      </c>
    </row>
    <row r="28" spans="1:20" x14ac:dyDescent="0.35">
      <c r="A28" s="1" t="s">
        <v>71</v>
      </c>
      <c r="B28" s="1" t="s">
        <v>72</v>
      </c>
      <c r="C28" s="1">
        <v>1296600</v>
      </c>
      <c r="D28" s="1">
        <v>1221600</v>
      </c>
      <c r="E28" s="1">
        <v>2518333</v>
      </c>
      <c r="F28" s="1">
        <v>1833800</v>
      </c>
      <c r="G28" s="1">
        <v>1728200</v>
      </c>
      <c r="H28" s="1">
        <v>3561800</v>
      </c>
      <c r="I28" s="1">
        <v>1150200</v>
      </c>
      <c r="J28" s="1">
        <v>1088200</v>
      </c>
      <c r="K28" s="1">
        <v>2238400</v>
      </c>
      <c r="L28" s="1">
        <v>2984000</v>
      </c>
      <c r="M28" s="1">
        <v>2816400</v>
      </c>
      <c r="N28" s="1">
        <v>5800200</v>
      </c>
      <c r="O28" s="1">
        <v>784600</v>
      </c>
      <c r="P28" s="1">
        <v>746600</v>
      </c>
      <c r="Q28" s="1">
        <v>1532000</v>
      </c>
      <c r="R28" s="1">
        <v>800400</v>
      </c>
      <c r="S28" s="1">
        <v>764800</v>
      </c>
      <c r="T28" s="1">
        <v>1565600</v>
      </c>
    </row>
    <row r="29" spans="1:20" x14ac:dyDescent="0.35">
      <c r="A29" s="1" t="s">
        <v>73</v>
      </c>
      <c r="B29" s="1" t="s">
        <v>74</v>
      </c>
      <c r="C29" s="1">
        <v>33606</v>
      </c>
      <c r="D29" s="1">
        <v>32196</v>
      </c>
      <c r="E29" s="1">
        <v>65826</v>
      </c>
      <c r="F29" s="1">
        <v>45134</v>
      </c>
      <c r="G29" s="1">
        <v>42859</v>
      </c>
      <c r="H29" s="1">
        <v>88019</v>
      </c>
      <c r="I29" s="1">
        <v>29869</v>
      </c>
      <c r="J29" s="1">
        <v>27735</v>
      </c>
      <c r="K29" s="1">
        <v>57611</v>
      </c>
      <c r="L29" s="1">
        <v>75003</v>
      </c>
      <c r="M29" s="1">
        <v>70594</v>
      </c>
      <c r="N29" s="1">
        <v>145630</v>
      </c>
      <c r="O29" s="1">
        <v>20990</v>
      </c>
      <c r="P29" s="1">
        <v>18815</v>
      </c>
      <c r="Q29" s="1">
        <v>39800</v>
      </c>
      <c r="R29" s="1">
        <v>20415</v>
      </c>
      <c r="S29" s="1">
        <v>18424</v>
      </c>
      <c r="T29" s="1">
        <v>38836</v>
      </c>
    </row>
    <row r="30" spans="1:20" x14ac:dyDescent="0.35">
      <c r="A30" s="1" t="s">
        <v>75</v>
      </c>
      <c r="B30" s="1" t="s">
        <v>76</v>
      </c>
      <c r="C30" s="1">
        <v>757533</v>
      </c>
      <c r="D30" s="1">
        <v>667400</v>
      </c>
      <c r="E30" s="1">
        <v>1424933</v>
      </c>
      <c r="F30" s="1">
        <v>1108600</v>
      </c>
      <c r="G30" s="1">
        <v>959400</v>
      </c>
      <c r="H30" s="1">
        <v>2068000</v>
      </c>
      <c r="I30" s="1">
        <v>696000</v>
      </c>
      <c r="J30" s="1">
        <v>585000</v>
      </c>
      <c r="K30" s="1">
        <v>1280800</v>
      </c>
      <c r="L30" s="1">
        <v>1804600</v>
      </c>
      <c r="M30" s="1">
        <v>1544400</v>
      </c>
      <c r="N30" s="1">
        <v>3348800</v>
      </c>
      <c r="O30" s="1">
        <v>492400</v>
      </c>
      <c r="P30" s="1">
        <v>409200</v>
      </c>
      <c r="Q30" s="1">
        <v>901200</v>
      </c>
      <c r="R30" s="1">
        <v>515000</v>
      </c>
      <c r="S30" s="1">
        <v>424000</v>
      </c>
      <c r="T30" s="1">
        <v>938000</v>
      </c>
    </row>
    <row r="31" spans="1:20" x14ac:dyDescent="0.35">
      <c r="A31" s="1" t="s">
        <v>77</v>
      </c>
      <c r="B31" s="1" t="s">
        <v>78</v>
      </c>
      <c r="C31" s="1">
        <v>3218400</v>
      </c>
      <c r="D31" s="1">
        <v>2825400</v>
      </c>
      <c r="E31" s="1">
        <v>6043800</v>
      </c>
      <c r="F31" s="1">
        <v>4195000</v>
      </c>
      <c r="G31" s="1">
        <v>3635400</v>
      </c>
      <c r="H31" s="1">
        <v>7830600</v>
      </c>
      <c r="I31" s="1">
        <v>2398800</v>
      </c>
      <c r="J31" s="1">
        <v>2156800</v>
      </c>
      <c r="K31" s="1">
        <v>4555600</v>
      </c>
      <c r="L31" s="1">
        <v>6593800</v>
      </c>
      <c r="M31" s="1">
        <v>5792200</v>
      </c>
      <c r="N31" s="1">
        <v>12386200</v>
      </c>
      <c r="O31" s="1">
        <v>1588600</v>
      </c>
      <c r="P31" s="1">
        <v>1443600</v>
      </c>
      <c r="Q31" s="1">
        <v>3032200</v>
      </c>
      <c r="R31" s="1">
        <v>1606200</v>
      </c>
      <c r="S31" s="1">
        <v>1464200</v>
      </c>
      <c r="T31" s="1">
        <v>3070600</v>
      </c>
    </row>
    <row r="32" spans="1:20" x14ac:dyDescent="0.35">
      <c r="A32" s="1" t="s">
        <v>79</v>
      </c>
      <c r="B32" s="1" t="s">
        <v>80</v>
      </c>
      <c r="C32" s="1">
        <v>13422</v>
      </c>
      <c r="D32" s="1">
        <v>12362</v>
      </c>
      <c r="E32" s="1">
        <v>25784</v>
      </c>
      <c r="F32" s="1">
        <v>21993</v>
      </c>
      <c r="G32" s="1">
        <v>20907</v>
      </c>
      <c r="H32" s="1">
        <v>42900</v>
      </c>
      <c r="I32" s="1">
        <v>18166</v>
      </c>
      <c r="J32" s="1">
        <v>17384</v>
      </c>
      <c r="K32" s="1">
        <v>35550</v>
      </c>
      <c r="L32" s="1">
        <v>40160</v>
      </c>
      <c r="M32" s="1">
        <v>38290</v>
      </c>
      <c r="N32" s="1">
        <v>78450</v>
      </c>
      <c r="O32" s="1">
        <v>12733</v>
      </c>
      <c r="P32" s="1">
        <v>12423</v>
      </c>
      <c r="Q32" s="1">
        <v>25156</v>
      </c>
      <c r="R32" s="1">
        <v>14012</v>
      </c>
      <c r="S32" s="1">
        <v>13631</v>
      </c>
      <c r="T32" s="1">
        <v>27643</v>
      </c>
    </row>
    <row r="33" spans="1:20" x14ac:dyDescent="0.35">
      <c r="A33" s="1" t="s">
        <v>81</v>
      </c>
      <c r="B33" s="1" t="s">
        <v>82</v>
      </c>
      <c r="C33" s="1">
        <v>1935800</v>
      </c>
      <c r="D33" s="1">
        <v>1780000</v>
      </c>
      <c r="E33" s="1">
        <v>3716000</v>
      </c>
      <c r="F33" s="1">
        <v>2660000</v>
      </c>
      <c r="G33" s="1">
        <v>2415600</v>
      </c>
      <c r="H33" s="1">
        <v>5075600</v>
      </c>
      <c r="I33" s="1">
        <v>1619000</v>
      </c>
      <c r="J33" s="1">
        <v>1513000</v>
      </c>
      <c r="K33" s="1">
        <v>3131800</v>
      </c>
      <c r="L33" s="1">
        <v>4279000</v>
      </c>
      <c r="M33" s="1">
        <v>3928600</v>
      </c>
      <c r="N33" s="1">
        <v>8207400</v>
      </c>
      <c r="O33" s="1">
        <v>1099600</v>
      </c>
      <c r="P33" s="1">
        <v>1036200</v>
      </c>
      <c r="Q33" s="1">
        <v>2135800</v>
      </c>
      <c r="R33" s="1">
        <v>1120800</v>
      </c>
      <c r="S33" s="1">
        <v>1058000</v>
      </c>
      <c r="T33" s="1">
        <v>2178000</v>
      </c>
    </row>
    <row r="34" spans="1:20" x14ac:dyDescent="0.35">
      <c r="A34" s="1" t="s">
        <v>83</v>
      </c>
      <c r="B34" s="1" t="s">
        <v>84</v>
      </c>
      <c r="C34" s="1">
        <v>1067800</v>
      </c>
      <c r="D34" s="1">
        <v>971400</v>
      </c>
      <c r="E34" s="1">
        <v>2039000</v>
      </c>
      <c r="F34" s="1">
        <v>1403400</v>
      </c>
      <c r="G34" s="1">
        <v>1258600</v>
      </c>
      <c r="H34" s="1">
        <v>2663000</v>
      </c>
      <c r="I34" s="1">
        <v>857600</v>
      </c>
      <c r="J34" s="1">
        <v>796200</v>
      </c>
      <c r="K34" s="1">
        <v>1654600</v>
      </c>
      <c r="L34" s="1">
        <v>2261000</v>
      </c>
      <c r="M34" s="1">
        <v>2054800</v>
      </c>
      <c r="N34" s="1">
        <v>4317600</v>
      </c>
      <c r="O34" s="1">
        <v>590800</v>
      </c>
      <c r="P34" s="1">
        <v>553800</v>
      </c>
      <c r="Q34" s="1">
        <v>1144600</v>
      </c>
      <c r="R34" s="1">
        <v>614800</v>
      </c>
      <c r="S34" s="1">
        <v>577400</v>
      </c>
      <c r="T34" s="1">
        <v>1193200</v>
      </c>
    </row>
    <row r="35" spans="1:20" x14ac:dyDescent="0.35">
      <c r="A35" s="1" t="s">
        <v>85</v>
      </c>
      <c r="B35" s="1" t="s">
        <v>86</v>
      </c>
      <c r="C35" s="1">
        <v>96591</v>
      </c>
      <c r="D35" s="1">
        <v>90355</v>
      </c>
      <c r="E35" s="1">
        <v>186946</v>
      </c>
      <c r="F35" s="1">
        <v>127508</v>
      </c>
      <c r="G35" s="1">
        <v>118705</v>
      </c>
      <c r="H35" s="1">
        <v>246213</v>
      </c>
      <c r="I35" s="1">
        <v>97841</v>
      </c>
      <c r="J35" s="1">
        <v>92532</v>
      </c>
      <c r="K35" s="1">
        <v>190373</v>
      </c>
      <c r="L35" s="1">
        <v>225349</v>
      </c>
      <c r="M35" s="1">
        <v>211237</v>
      </c>
      <c r="N35" s="1">
        <v>436587</v>
      </c>
      <c r="O35" s="1">
        <v>67670</v>
      </c>
      <c r="P35" s="1">
        <v>64028</v>
      </c>
      <c r="Q35" s="1">
        <v>131698</v>
      </c>
      <c r="R35" s="1">
        <v>75516</v>
      </c>
      <c r="S35" s="1">
        <v>69038</v>
      </c>
      <c r="T35" s="1">
        <v>144553</v>
      </c>
    </row>
    <row r="36" spans="1:20" x14ac:dyDescent="0.35">
      <c r="A36" s="1" t="s">
        <v>87</v>
      </c>
      <c r="B36" s="1" t="s">
        <v>88</v>
      </c>
      <c r="C36" s="1">
        <v>9263831</v>
      </c>
      <c r="D36" s="1">
        <v>7903640</v>
      </c>
      <c r="E36" s="1">
        <v>17166757</v>
      </c>
      <c r="F36" s="1">
        <v>12865805</v>
      </c>
      <c r="G36" s="1">
        <v>10916218</v>
      </c>
      <c r="H36" s="1">
        <v>23778810</v>
      </c>
      <c r="I36" s="1">
        <v>6994105</v>
      </c>
      <c r="J36" s="1">
        <v>6144831</v>
      </c>
      <c r="K36" s="1">
        <v>13141037</v>
      </c>
      <c r="L36" s="1">
        <v>19859910</v>
      </c>
      <c r="M36" s="1">
        <v>17061049</v>
      </c>
      <c r="N36" s="1">
        <v>36919847</v>
      </c>
      <c r="O36" s="1">
        <v>4807747</v>
      </c>
      <c r="P36" s="1">
        <v>4212605</v>
      </c>
      <c r="Q36" s="1">
        <v>9020470</v>
      </c>
      <c r="R36" s="1">
        <v>4930965</v>
      </c>
      <c r="S36" s="1">
        <v>4316142</v>
      </c>
      <c r="T36" s="1">
        <v>9248386</v>
      </c>
    </row>
    <row r="37" spans="1:20" x14ac:dyDescent="0.35">
      <c r="A37" s="1" t="s">
        <v>89</v>
      </c>
      <c r="B37" s="1" t="s">
        <v>90</v>
      </c>
      <c r="C37" s="1">
        <v>370200</v>
      </c>
      <c r="D37" s="1">
        <v>319000</v>
      </c>
      <c r="E37" s="1">
        <v>689200</v>
      </c>
      <c r="F37" s="1">
        <v>473600</v>
      </c>
      <c r="G37" s="1">
        <v>395400</v>
      </c>
      <c r="H37" s="1">
        <v>868200</v>
      </c>
      <c r="I37" s="1">
        <v>300800</v>
      </c>
      <c r="J37" s="1">
        <v>259200</v>
      </c>
      <c r="K37" s="1">
        <v>560000</v>
      </c>
      <c r="L37" s="1">
        <v>774400</v>
      </c>
      <c r="M37" s="1">
        <v>654600</v>
      </c>
      <c r="N37" s="1">
        <v>1428200</v>
      </c>
      <c r="O37" s="1">
        <v>208600</v>
      </c>
      <c r="P37" s="1">
        <v>182800</v>
      </c>
      <c r="Q37" s="1">
        <v>391600</v>
      </c>
      <c r="R37" s="1">
        <v>216800</v>
      </c>
      <c r="S37" s="1">
        <v>190600</v>
      </c>
      <c r="T37" s="1">
        <v>408200</v>
      </c>
    </row>
    <row r="38" spans="1:20" x14ac:dyDescent="0.35">
      <c r="A38" s="1" t="s">
        <v>91</v>
      </c>
      <c r="B38" s="1" t="s">
        <v>92</v>
      </c>
      <c r="C38" s="1">
        <v>2398533</v>
      </c>
      <c r="D38" s="1">
        <v>2250267</v>
      </c>
      <c r="E38" s="1">
        <v>4648600</v>
      </c>
      <c r="F38" s="1">
        <v>3504600</v>
      </c>
      <c r="G38" s="1">
        <v>3302800</v>
      </c>
      <c r="H38" s="1">
        <v>6807000</v>
      </c>
      <c r="I38" s="1">
        <v>2247000</v>
      </c>
      <c r="J38" s="1">
        <v>2170000</v>
      </c>
      <c r="K38" s="1">
        <v>4417000</v>
      </c>
      <c r="L38" s="1">
        <v>5751600</v>
      </c>
      <c r="M38" s="1">
        <v>5472800</v>
      </c>
      <c r="N38" s="1">
        <v>11224000</v>
      </c>
      <c r="O38" s="1">
        <v>1568200</v>
      </c>
      <c r="P38" s="1">
        <v>1509400</v>
      </c>
      <c r="Q38" s="1">
        <v>3077600</v>
      </c>
      <c r="R38" s="1">
        <v>1625000</v>
      </c>
      <c r="S38" s="1">
        <v>1560600</v>
      </c>
      <c r="T38" s="1">
        <v>3185600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EC1A2-E8B7-4D1E-BAF3-D47136EE9C2F}">
  <dimension ref="A1:H43"/>
  <sheetViews>
    <sheetView workbookViewId="0">
      <selection activeCell="C4" sqref="C4"/>
    </sheetView>
  </sheetViews>
  <sheetFormatPr defaultRowHeight="14.5" x14ac:dyDescent="0.35"/>
  <cols>
    <col min="1" max="1" width="10.6328125" bestFit="1" customWidth="1"/>
    <col min="2" max="2" width="38.08984375" bestFit="1" customWidth="1"/>
    <col min="3" max="3" width="58.90625" bestFit="1" customWidth="1"/>
    <col min="4" max="4" width="59.90625" bestFit="1" customWidth="1"/>
    <col min="5" max="6" width="60.90625" bestFit="1" customWidth="1"/>
    <col min="7" max="7" width="21" bestFit="1" customWidth="1"/>
    <col min="8" max="8" width="21.54296875" bestFit="1" customWidth="1"/>
  </cols>
  <sheetData>
    <row r="1" spans="1:8" x14ac:dyDescent="0.35">
      <c r="A1" s="1" t="s">
        <v>0</v>
      </c>
      <c r="B1" s="1" t="s">
        <v>1</v>
      </c>
      <c r="C1" s="1" t="s">
        <v>4</v>
      </c>
      <c r="D1" s="1" t="s">
        <v>13</v>
      </c>
      <c r="E1" s="1" t="s">
        <v>16</v>
      </c>
      <c r="F1" s="1" t="s">
        <v>19</v>
      </c>
      <c r="G1" s="1" t="s">
        <v>96</v>
      </c>
      <c r="H1" s="1" t="s">
        <v>97</v>
      </c>
    </row>
    <row r="2" spans="1:8" x14ac:dyDescent="0.35">
      <c r="A2" s="1" t="s">
        <v>20</v>
      </c>
      <c r="B2" s="1" t="s">
        <v>20</v>
      </c>
      <c r="C2" s="1">
        <v>85753425</v>
      </c>
      <c r="D2" s="1">
        <v>187299628</v>
      </c>
      <c r="E2" s="1">
        <v>47919989</v>
      </c>
      <c r="F2" s="1">
        <v>48887349</v>
      </c>
      <c r="G2" s="1">
        <f>SUM(UDISE_2022_23_Table_10_1_04[[#This Row],[Projected Population by Age Group - Overall - Age 3 to 5 - Total]:[Projected Population by Age Group - Overall - Age 16 to 17 - Total]])</f>
        <v>369860391</v>
      </c>
      <c r="H2" s="1" t="str" cm="1">
        <f t="array" ref="H2">_xlfn.IFS(
 UDISE_2022_23_Table_10_1_04[[#This Row],[Overall - Population ]] &gt; 10273899.83, "Above-Average",
  UDISE_2022_23_Table_10_1_04[[#This Row],[Overall - Population ]] &lt; 10273899.83, "Below-Average",
  UDISE_2022_23_Table_10_1_04[[#This Row],[Overall - Population ]] = 10273899.83, "Average"
)</f>
        <v>Above-Average</v>
      </c>
    </row>
    <row r="3" spans="1:8" x14ac:dyDescent="0.35">
      <c r="A3" s="1" t="s">
        <v>21</v>
      </c>
      <c r="B3" s="1" t="s">
        <v>22</v>
      </c>
      <c r="C3" s="1">
        <v>18298</v>
      </c>
      <c r="D3" s="1">
        <v>46234</v>
      </c>
      <c r="E3" s="1">
        <v>12620</v>
      </c>
      <c r="F3" s="1">
        <v>12349</v>
      </c>
      <c r="G3" s="1">
        <f>SUM(UDISE_2022_23_Table_10_1_04[[#This Row],[Projected Population by Age Group - Overall - Age 3 to 5 - Total]:[Projected Population by Age Group - Overall - Age 16 to 17 - Total]])</f>
        <v>89501</v>
      </c>
      <c r="H3" s="1" t="str" cm="1">
        <f t="array" ref="H3">_xlfn.IFS(
 UDISE_2022_23_Table_10_1_04[[#This Row],[Overall - Population ]] &gt; 10273899.83, "Above-Average",
  UDISE_2022_23_Table_10_1_04[[#This Row],[Overall - Population ]] &lt; 10273899.83, "Below-Average",
  UDISE_2022_23_Table_10_1_04[[#This Row],[Overall - Population ]] = 10273899.83, "Average"
)</f>
        <v>Below-Average</v>
      </c>
    </row>
    <row r="4" spans="1:8" x14ac:dyDescent="0.35">
      <c r="A4" s="1" t="s">
        <v>23</v>
      </c>
      <c r="B4" s="1" t="s">
        <v>24</v>
      </c>
      <c r="C4" s="1">
        <v>2698000</v>
      </c>
      <c r="D4" s="1">
        <v>5798800</v>
      </c>
      <c r="E4" s="1">
        <v>1514600</v>
      </c>
      <c r="F4" s="1">
        <v>1580400</v>
      </c>
      <c r="G4" s="1">
        <f>SUM(UDISE_2022_23_Table_10_1_04[[#This Row],[Projected Population by Age Group - Overall - Age 3 to 5 - Total]:[Projected Population by Age Group - Overall - Age 16 to 17 - Total]])</f>
        <v>11591800</v>
      </c>
      <c r="H4" s="1" t="str" cm="1">
        <f t="array" ref="H4">_xlfn.IFS(
 UDISE_2022_23_Table_10_1_04[[#This Row],[Overall - Population ]] &gt; 10273899.83, "Above-Average",
  UDISE_2022_23_Table_10_1_04[[#This Row],[Overall - Population ]] &lt; 10273899.83, "Below-Average",
  UDISE_2022_23_Table_10_1_04[[#This Row],[Overall - Population ]] = 10273899.83, "Average"
)</f>
        <v>Above-Average</v>
      </c>
    </row>
    <row r="5" spans="1:8" x14ac:dyDescent="0.35">
      <c r="A5" s="1" t="s">
        <v>25</v>
      </c>
      <c r="B5" s="1" t="s">
        <v>26</v>
      </c>
      <c r="C5" s="1">
        <v>85175</v>
      </c>
      <c r="D5" s="1">
        <v>219578</v>
      </c>
      <c r="E5" s="1">
        <v>66159</v>
      </c>
      <c r="F5" s="1">
        <v>62776</v>
      </c>
      <c r="G5" s="1">
        <f>SUM(UDISE_2022_23_Table_10_1_04[[#This Row],[Projected Population by Age Group - Overall - Age 3 to 5 - Total]:[Projected Population by Age Group - Overall - Age 16 to 17 - Total]])</f>
        <v>433688</v>
      </c>
      <c r="H5" s="1" t="str" cm="1">
        <f t="array" ref="H5">_xlfn.IFS(
 UDISE_2022_23_Table_10_1_04[[#This Row],[Overall - Population ]] &gt; 10273899.83, "Above-Average",
  UDISE_2022_23_Table_10_1_04[[#This Row],[Overall - Population ]] &lt; 10273899.83, "Below-Average",
  UDISE_2022_23_Table_10_1_04[[#This Row],[Overall - Population ]] = 10273899.83, "Average"
)</f>
        <v>Below-Average</v>
      </c>
    </row>
    <row r="6" spans="1:8" x14ac:dyDescent="0.35">
      <c r="A6" s="1" t="s">
        <v>27</v>
      </c>
      <c r="B6" s="1" t="s">
        <v>28</v>
      </c>
      <c r="C6" s="1">
        <v>2384800</v>
      </c>
      <c r="D6" s="1">
        <v>4928200</v>
      </c>
      <c r="E6" s="1">
        <v>1323000</v>
      </c>
      <c r="F6" s="1">
        <v>1342200</v>
      </c>
      <c r="G6" s="1">
        <f>SUM(UDISE_2022_23_Table_10_1_04[[#This Row],[Projected Population by Age Group - Overall - Age 3 to 5 - Total]:[Projected Population by Age Group - Overall - Age 16 to 17 - Total]])</f>
        <v>9978200</v>
      </c>
      <c r="H6" s="1" t="str" cm="1">
        <f t="array" ref="H6">_xlfn.IFS(
 UDISE_2022_23_Table_10_1_04[[#This Row],[Overall - Population ]] &gt; 10273899.83, "Above-Average",
  UDISE_2022_23_Table_10_1_04[[#This Row],[Overall - Population ]] &lt; 10273899.83, "Below-Average",
  UDISE_2022_23_Table_10_1_04[[#This Row],[Overall - Population ]] = 10273899.83, "Average"
)</f>
        <v>Below-Average</v>
      </c>
    </row>
    <row r="7" spans="1:8" x14ac:dyDescent="0.35">
      <c r="A7" s="1" t="s">
        <v>29</v>
      </c>
      <c r="B7" s="1" t="s">
        <v>30</v>
      </c>
      <c r="C7" s="1">
        <v>10008613</v>
      </c>
      <c r="D7" s="1">
        <v>22197555</v>
      </c>
      <c r="E7" s="1">
        <v>5576563</v>
      </c>
      <c r="F7" s="1">
        <v>5572746</v>
      </c>
      <c r="G7" s="1">
        <f>SUM(UDISE_2022_23_Table_10_1_04[[#This Row],[Projected Population by Age Group - Overall - Age 3 to 5 - Total]:[Projected Population by Age Group - Overall - Age 16 to 17 - Total]])</f>
        <v>43355477</v>
      </c>
      <c r="H7" s="1" t="str" cm="1">
        <f t="array" ref="H7">_xlfn.IFS(
 UDISE_2022_23_Table_10_1_04[[#This Row],[Overall - Population ]] &gt; 10273899.83, "Above-Average",
  UDISE_2022_23_Table_10_1_04[[#This Row],[Overall - Population ]] &lt; 10273899.83, "Below-Average",
  UDISE_2022_23_Table_10_1_04[[#This Row],[Overall - Population ]] = 10273899.83, "Average"
)</f>
        <v>Above-Average</v>
      </c>
    </row>
    <row r="8" spans="1:8" x14ac:dyDescent="0.35">
      <c r="A8" s="1" t="s">
        <v>31</v>
      </c>
      <c r="B8" s="1" t="s">
        <v>32</v>
      </c>
      <c r="C8" s="1">
        <v>57611</v>
      </c>
      <c r="D8" s="1">
        <v>138224</v>
      </c>
      <c r="E8" s="1">
        <v>37207</v>
      </c>
      <c r="F8" s="1">
        <v>38749</v>
      </c>
      <c r="G8" s="1">
        <f>SUM(UDISE_2022_23_Table_10_1_04[[#This Row],[Projected Population by Age Group - Overall - Age 3 to 5 - Total]:[Projected Population by Age Group - Overall - Age 16 to 17 - Total]])</f>
        <v>271791</v>
      </c>
      <c r="H8" s="1" t="str" cm="1">
        <f t="array" ref="H8">_xlfn.IFS(
 UDISE_2022_23_Table_10_1_04[[#This Row],[Overall - Population ]] &gt; 10273899.83, "Above-Average",
  UDISE_2022_23_Table_10_1_04[[#This Row],[Overall - Population ]] &lt; 10273899.83, "Below-Average",
  UDISE_2022_23_Table_10_1_04[[#This Row],[Overall - Population ]] = 10273899.83, "Average"
)</f>
        <v>Below-Average</v>
      </c>
    </row>
    <row r="9" spans="1:8" x14ac:dyDescent="0.35">
      <c r="A9" s="1" t="s">
        <v>33</v>
      </c>
      <c r="B9" s="1" t="s">
        <v>34</v>
      </c>
      <c r="C9" s="1">
        <v>2001267</v>
      </c>
      <c r="D9" s="1">
        <v>4379800</v>
      </c>
      <c r="E9" s="1">
        <v>1076800</v>
      </c>
      <c r="F9" s="1">
        <v>1085600</v>
      </c>
      <c r="G9" s="1">
        <f>SUM(UDISE_2022_23_Table_10_1_04[[#This Row],[Projected Population by Age Group - Overall - Age 3 to 5 - Total]:[Projected Population by Age Group - Overall - Age 16 to 17 - Total]])</f>
        <v>8543467</v>
      </c>
      <c r="H9" s="1" t="str" cm="1">
        <f t="array" ref="H9">_xlfn.IFS(
 UDISE_2022_23_Table_10_1_04[[#This Row],[Overall - Population ]] &gt; 10273899.83, "Above-Average",
  UDISE_2022_23_Table_10_1_04[[#This Row],[Overall - Population ]] &lt; 10273899.83, "Below-Average",
  UDISE_2022_23_Table_10_1_04[[#This Row],[Overall - Population ]] = 10273899.83, "Average"
)</f>
        <v>Below-Average</v>
      </c>
    </row>
    <row r="10" spans="1:8" x14ac:dyDescent="0.35">
      <c r="A10" s="1" t="s">
        <v>35</v>
      </c>
      <c r="B10" s="1" t="s">
        <v>36</v>
      </c>
      <c r="C10" s="1">
        <v>41671</v>
      </c>
      <c r="D10" s="1">
        <v>88741</v>
      </c>
      <c r="E10" s="1">
        <v>20870</v>
      </c>
      <c r="F10" s="1">
        <v>21682</v>
      </c>
      <c r="G10" s="1">
        <f>SUM(UDISE_2022_23_Table_10_1_04[[#This Row],[Projected Population by Age Group - Overall - Age 3 to 5 - Total]:[Projected Population by Age Group - Overall - Age 16 to 17 - Total]])</f>
        <v>172964</v>
      </c>
      <c r="H10" s="1" t="str" cm="1">
        <f t="array" ref="H10">_xlfn.IFS(
 UDISE_2022_23_Table_10_1_04[[#This Row],[Overall - Population ]] &gt; 10273899.83, "Above-Average",
  UDISE_2022_23_Table_10_1_04[[#This Row],[Overall - Population ]] &lt; 10273899.83, "Below-Average",
  UDISE_2022_23_Table_10_1_04[[#This Row],[Overall - Population ]] = 10273899.83, "Average"
)</f>
        <v>Below-Average</v>
      </c>
    </row>
    <row r="11" spans="1:8" x14ac:dyDescent="0.35">
      <c r="A11" s="1" t="s">
        <v>37</v>
      </c>
      <c r="B11" s="1" t="s">
        <v>38</v>
      </c>
      <c r="C11" s="1">
        <v>1257950</v>
      </c>
      <c r="D11" s="1">
        <v>2628301</v>
      </c>
      <c r="E11" s="1">
        <v>691886</v>
      </c>
      <c r="F11" s="1">
        <v>727971</v>
      </c>
      <c r="G11" s="1">
        <f>SUM(UDISE_2022_23_Table_10_1_04[[#This Row],[Projected Population by Age Group - Overall - Age 3 to 5 - Total]:[Projected Population by Age Group - Overall - Age 16 to 17 - Total]])</f>
        <v>5306108</v>
      </c>
      <c r="H11" s="1" t="str" cm="1">
        <f t="array" ref="H11">_xlfn.IFS(
 UDISE_2022_23_Table_10_1_04[[#This Row],[Overall - Population ]] &gt; 10273899.83, "Above-Average",
  UDISE_2022_23_Table_10_1_04[[#This Row],[Overall - Population ]] &lt; 10273899.83, "Below-Average",
  UDISE_2022_23_Table_10_1_04[[#This Row],[Overall - Population ]] = 10273899.83, "Average"
)</f>
        <v>Below-Average</v>
      </c>
    </row>
    <row r="12" spans="1:8" x14ac:dyDescent="0.35">
      <c r="A12" s="1" t="s">
        <v>39</v>
      </c>
      <c r="B12" s="1" t="s">
        <v>40</v>
      </c>
      <c r="C12" s="1">
        <v>74412</v>
      </c>
      <c r="D12" s="1">
        <v>160186</v>
      </c>
      <c r="E12" s="1">
        <v>42791</v>
      </c>
      <c r="F12" s="1">
        <v>42623</v>
      </c>
      <c r="G12" s="1">
        <f>SUM(UDISE_2022_23_Table_10_1_04[[#This Row],[Projected Population by Age Group - Overall - Age 3 to 5 - Total]:[Projected Population by Age Group - Overall - Age 16 to 17 - Total]])</f>
        <v>320012</v>
      </c>
      <c r="H12" s="1" t="str" cm="1">
        <f t="array" ref="H12">_xlfn.IFS(
 UDISE_2022_23_Table_10_1_04[[#This Row],[Overall - Population ]] &gt; 10273899.83, "Above-Average",
  UDISE_2022_23_Table_10_1_04[[#This Row],[Overall - Population ]] &lt; 10273899.83, "Below-Average",
  UDISE_2022_23_Table_10_1_04[[#This Row],[Overall - Population ]] = 10273899.83, "Average"
)</f>
        <v>Below-Average</v>
      </c>
    </row>
    <row r="13" spans="1:8" x14ac:dyDescent="0.35">
      <c r="A13" s="1" t="s">
        <v>41</v>
      </c>
      <c r="B13" s="1" t="s">
        <v>42</v>
      </c>
      <c r="C13" s="1">
        <v>4458326</v>
      </c>
      <c r="D13" s="1">
        <v>8944730</v>
      </c>
      <c r="E13" s="1">
        <v>2227808</v>
      </c>
      <c r="F13" s="1">
        <v>2275055</v>
      </c>
      <c r="G13" s="1">
        <f>SUM(UDISE_2022_23_Table_10_1_04[[#This Row],[Projected Population by Age Group - Overall - Age 3 to 5 - Total]:[Projected Population by Age Group - Overall - Age 16 to 17 - Total]])</f>
        <v>17905919</v>
      </c>
      <c r="H13" s="1" t="str" cm="1">
        <f t="array" ref="H13">_xlfn.IFS(
 UDISE_2022_23_Table_10_1_04[[#This Row],[Overall - Population ]] &gt; 10273899.83, "Above-Average",
  UDISE_2022_23_Table_10_1_04[[#This Row],[Overall - Population ]] &lt; 10273899.83, "Below-Average",
  UDISE_2022_23_Table_10_1_04[[#This Row],[Overall - Population ]] = 10273899.83, "Average"
)</f>
        <v>Above-Average</v>
      </c>
    </row>
    <row r="14" spans="1:8" x14ac:dyDescent="0.35">
      <c r="A14" s="1" t="s">
        <v>43</v>
      </c>
      <c r="B14" s="1" t="s">
        <v>44</v>
      </c>
      <c r="C14" s="1">
        <v>1915000</v>
      </c>
      <c r="D14" s="1">
        <v>3945800</v>
      </c>
      <c r="E14" s="1">
        <v>990200</v>
      </c>
      <c r="F14" s="1">
        <v>1015200</v>
      </c>
      <c r="G14" s="1">
        <f>SUM(UDISE_2022_23_Table_10_1_04[[#This Row],[Projected Population by Age Group - Overall - Age 3 to 5 - Total]:[Projected Population by Age Group - Overall - Age 16 to 17 - Total]])</f>
        <v>7866200</v>
      </c>
      <c r="H14" s="1" t="str" cm="1">
        <f t="array" ref="H14">_xlfn.IFS(
 UDISE_2022_23_Table_10_1_04[[#This Row],[Overall - Population ]] &gt; 10273899.83, "Above-Average",
  UDISE_2022_23_Table_10_1_04[[#This Row],[Overall - Population ]] &lt; 10273899.83, "Below-Average",
  UDISE_2022_23_Table_10_1_04[[#This Row],[Overall - Population ]] = 10273899.83, "Average"
)</f>
        <v>Below-Average</v>
      </c>
    </row>
    <row r="15" spans="1:8" x14ac:dyDescent="0.35">
      <c r="A15" s="1" t="s">
        <v>45</v>
      </c>
      <c r="B15" s="1" t="s">
        <v>46</v>
      </c>
      <c r="C15" s="1">
        <v>340067</v>
      </c>
      <c r="D15" s="1">
        <v>828400</v>
      </c>
      <c r="E15" s="1">
        <v>226200</v>
      </c>
      <c r="F15" s="1">
        <v>233200</v>
      </c>
      <c r="G15" s="1">
        <f>SUM(UDISE_2022_23_Table_10_1_04[[#This Row],[Projected Population by Age Group - Overall - Age 3 to 5 - Total]:[Projected Population by Age Group - Overall - Age 16 to 17 - Total]])</f>
        <v>1627867</v>
      </c>
      <c r="H15" s="1" t="str" cm="1">
        <f t="array" ref="H15">_xlfn.IFS(
 UDISE_2022_23_Table_10_1_04[[#This Row],[Overall - Population ]] &gt; 10273899.83, "Above-Average",
  UDISE_2022_23_Table_10_1_04[[#This Row],[Overall - Population ]] &lt; 10273899.83, "Below-Average",
  UDISE_2022_23_Table_10_1_04[[#This Row],[Overall - Population ]] = 10273899.83, "Average"
)</f>
        <v>Below-Average</v>
      </c>
    </row>
    <row r="16" spans="1:8" x14ac:dyDescent="0.35">
      <c r="A16" s="1" t="s">
        <v>47</v>
      </c>
      <c r="B16" s="1" t="s">
        <v>48</v>
      </c>
      <c r="C16" s="1">
        <v>615933</v>
      </c>
      <c r="D16" s="1">
        <v>1766000</v>
      </c>
      <c r="E16" s="1">
        <v>548200</v>
      </c>
      <c r="F16" s="1">
        <v>558400</v>
      </c>
      <c r="G16" s="1">
        <f>SUM(UDISE_2022_23_Table_10_1_04[[#This Row],[Projected Population by Age Group - Overall - Age 3 to 5 - Total]:[Projected Population by Age Group - Overall - Age 16 to 17 - Total]])</f>
        <v>3488533</v>
      </c>
      <c r="H16" s="1" t="str" cm="1">
        <f t="array" ref="H16">_xlfn.IFS(
 UDISE_2022_23_Table_10_1_04[[#This Row],[Overall - Population ]] &gt; 10273899.83, "Above-Average",
  UDISE_2022_23_Table_10_1_04[[#This Row],[Overall - Population ]] &lt; 10273899.83, "Below-Average",
  UDISE_2022_23_Table_10_1_04[[#This Row],[Overall - Population ]] = 10273899.83, "Average"
)</f>
        <v>Below-Average</v>
      </c>
    </row>
    <row r="17" spans="1:8" x14ac:dyDescent="0.35">
      <c r="A17" s="1" t="s">
        <v>49</v>
      </c>
      <c r="B17" s="1" t="s">
        <v>50</v>
      </c>
      <c r="C17" s="1">
        <v>2906200</v>
      </c>
      <c r="D17" s="1">
        <v>5915400</v>
      </c>
      <c r="E17" s="1">
        <v>1568000</v>
      </c>
      <c r="F17" s="1">
        <v>1586800</v>
      </c>
      <c r="G17" s="1">
        <f>SUM(UDISE_2022_23_Table_10_1_04[[#This Row],[Projected Population by Age Group - Overall - Age 3 to 5 - Total]:[Projected Population by Age Group - Overall - Age 16 to 17 - Total]])</f>
        <v>11976400</v>
      </c>
      <c r="H17" s="1" t="str" cm="1">
        <f t="array" ref="H17">_xlfn.IFS(
 UDISE_2022_23_Table_10_1_04[[#This Row],[Overall - Population ]] &gt; 10273899.83, "Above-Average",
  UDISE_2022_23_Table_10_1_04[[#This Row],[Overall - Population ]] &lt; 10273899.83, "Below-Average",
  UDISE_2022_23_Table_10_1_04[[#This Row],[Overall - Population ]] = 10273899.83, "Average"
)</f>
        <v>Above-Average</v>
      </c>
    </row>
    <row r="18" spans="1:8" x14ac:dyDescent="0.35">
      <c r="A18" s="1" t="s">
        <v>51</v>
      </c>
      <c r="B18" s="1" t="s">
        <v>52</v>
      </c>
      <c r="C18" s="1">
        <v>3663000</v>
      </c>
      <c r="D18" s="1">
        <v>7963800</v>
      </c>
      <c r="E18" s="1">
        <v>2048400</v>
      </c>
      <c r="F18" s="1">
        <v>2088200</v>
      </c>
      <c r="G18" s="1">
        <f>SUM(UDISE_2022_23_Table_10_1_04[[#This Row],[Projected Population by Age Group - Overall - Age 3 to 5 - Total]:[Projected Population by Age Group - Overall - Age 16 to 17 - Total]])</f>
        <v>15763400</v>
      </c>
      <c r="H18" s="1" t="str" cm="1">
        <f t="array" ref="H18">_xlfn.IFS(
 UDISE_2022_23_Table_10_1_04[[#This Row],[Overall - Population ]] &gt; 10273899.83, "Above-Average",
  UDISE_2022_23_Table_10_1_04[[#This Row],[Overall - Population ]] &lt; 10273899.83, "Below-Average",
  UDISE_2022_23_Table_10_1_04[[#This Row],[Overall - Population ]] = 10273899.83, "Average"
)</f>
        <v>Above-Average</v>
      </c>
    </row>
    <row r="19" spans="1:8" x14ac:dyDescent="0.35">
      <c r="A19" s="1" t="s">
        <v>53</v>
      </c>
      <c r="B19" s="1" t="s">
        <v>54</v>
      </c>
      <c r="C19" s="1">
        <v>1842600</v>
      </c>
      <c r="D19" s="1">
        <v>3880600</v>
      </c>
      <c r="E19" s="1">
        <v>1006800</v>
      </c>
      <c r="F19" s="1">
        <v>1014000</v>
      </c>
      <c r="G19" s="1">
        <f>SUM(UDISE_2022_23_Table_10_1_04[[#This Row],[Projected Population by Age Group - Overall - Age 3 to 5 - Total]:[Projected Population by Age Group - Overall - Age 16 to 17 - Total]])</f>
        <v>7744000</v>
      </c>
      <c r="H19" s="1" t="str" cm="1">
        <f t="array" ref="H19">_xlfn.IFS(
 UDISE_2022_23_Table_10_1_04[[#This Row],[Overall - Population ]] &gt; 10273899.83, "Above-Average",
  UDISE_2022_23_Table_10_1_04[[#This Row],[Overall - Population ]] &lt; 10273899.83, "Below-Average",
  UDISE_2022_23_Table_10_1_04[[#This Row],[Overall - Population ]] = 10273899.83, "Average"
)</f>
        <v>Below-Average</v>
      </c>
    </row>
    <row r="20" spans="1:8" x14ac:dyDescent="0.35">
      <c r="A20" s="1" t="s">
        <v>55</v>
      </c>
      <c r="B20" s="1" t="s">
        <v>56</v>
      </c>
      <c r="C20" s="1">
        <v>16620</v>
      </c>
      <c r="D20" s="1">
        <v>34091</v>
      </c>
      <c r="E20" s="1">
        <v>9347</v>
      </c>
      <c r="F20" s="1">
        <v>9258</v>
      </c>
      <c r="G20" s="1">
        <f>SUM(UDISE_2022_23_Table_10_1_04[[#This Row],[Projected Population by Age Group - Overall - Age 3 to 5 - Total]:[Projected Population by Age Group - Overall - Age 16 to 17 - Total]])</f>
        <v>69316</v>
      </c>
      <c r="H20" s="1" t="str" cm="1">
        <f t="array" ref="H20">_xlfn.IFS(
 UDISE_2022_23_Table_10_1_04[[#This Row],[Overall - Population ]] &gt; 10273899.83, "Above-Average",
  UDISE_2022_23_Table_10_1_04[[#This Row],[Overall - Population ]] &lt; 10273899.83, "Below-Average",
  UDISE_2022_23_Table_10_1_04[[#This Row],[Overall - Population ]] = 10273899.83, "Average"
)</f>
        <v>Below-Average</v>
      </c>
    </row>
    <row r="21" spans="1:8" x14ac:dyDescent="0.35">
      <c r="A21" s="1" t="s">
        <v>57</v>
      </c>
      <c r="B21" s="1" t="s">
        <v>58</v>
      </c>
      <c r="C21" s="1">
        <v>3466</v>
      </c>
      <c r="D21" s="1">
        <v>8745</v>
      </c>
      <c r="E21" s="1">
        <v>2311</v>
      </c>
      <c r="F21" s="1">
        <v>2325</v>
      </c>
      <c r="G21" s="1">
        <f>SUM(UDISE_2022_23_Table_10_1_04[[#This Row],[Projected Population by Age Group - Overall - Age 3 to 5 - Total]:[Projected Population by Age Group - Overall - Age 16 to 17 - Total]])</f>
        <v>16847</v>
      </c>
      <c r="H21" s="1" t="str" cm="1">
        <f t="array" ref="H21">_xlfn.IFS(
 UDISE_2022_23_Table_10_1_04[[#This Row],[Overall - Population ]] &gt; 10273899.83, "Above-Average",
  UDISE_2022_23_Table_10_1_04[[#This Row],[Overall - Population ]] &lt; 10273899.83, "Below-Average",
  UDISE_2022_23_Table_10_1_04[[#This Row],[Overall - Population ]] = 10273899.83, "Average"
)</f>
        <v>Below-Average</v>
      </c>
    </row>
    <row r="22" spans="1:8" x14ac:dyDescent="0.35">
      <c r="A22" s="1" t="s">
        <v>59</v>
      </c>
      <c r="B22" s="1" t="s">
        <v>60</v>
      </c>
      <c r="C22" s="1">
        <v>6144740</v>
      </c>
      <c r="D22" s="1">
        <v>13209718</v>
      </c>
      <c r="E22" s="1">
        <v>3173087</v>
      </c>
      <c r="F22" s="1">
        <v>3191156</v>
      </c>
      <c r="G22" s="1">
        <f>SUM(UDISE_2022_23_Table_10_1_04[[#This Row],[Projected Population by Age Group - Overall - Age 3 to 5 - Total]:[Projected Population by Age Group - Overall - Age 16 to 17 - Total]])</f>
        <v>25718701</v>
      </c>
      <c r="H22" s="1" t="str" cm="1">
        <f t="array" ref="H22">_xlfn.IFS(
 UDISE_2022_23_Table_10_1_04[[#This Row],[Overall - Population ]] &gt; 10273899.83, "Above-Average",
  UDISE_2022_23_Table_10_1_04[[#This Row],[Overall - Population ]] &lt; 10273899.83, "Below-Average",
  UDISE_2022_23_Table_10_1_04[[#This Row],[Overall - Population ]] = 10273899.83, "Average"
)</f>
        <v>Above-Average</v>
      </c>
    </row>
    <row r="23" spans="1:8" x14ac:dyDescent="0.35">
      <c r="A23" s="1" t="s">
        <v>61</v>
      </c>
      <c r="B23" s="1" t="s">
        <v>62</v>
      </c>
      <c r="C23" s="1">
        <v>6149800</v>
      </c>
      <c r="D23" s="1">
        <v>14610400</v>
      </c>
      <c r="E23" s="1">
        <v>3942000</v>
      </c>
      <c r="F23" s="1">
        <v>4037600</v>
      </c>
      <c r="G23" s="1">
        <f>SUM(UDISE_2022_23_Table_10_1_04[[#This Row],[Projected Population by Age Group - Overall - Age 3 to 5 - Total]:[Projected Population by Age Group - Overall - Age 16 to 17 - Total]])</f>
        <v>28739800</v>
      </c>
      <c r="H23" s="1" t="str" cm="1">
        <f t="array" ref="H23">_xlfn.IFS(
 UDISE_2022_23_Table_10_1_04[[#This Row],[Overall - Population ]] &gt; 10273899.83, "Above-Average",
  UDISE_2022_23_Table_10_1_04[[#This Row],[Overall - Population ]] &lt; 10273899.83, "Below-Average",
  UDISE_2022_23_Table_10_1_04[[#This Row],[Overall - Population ]] = 10273899.83, "Average"
)</f>
        <v>Above-Average</v>
      </c>
    </row>
    <row r="24" spans="1:8" x14ac:dyDescent="0.35">
      <c r="A24" s="1" t="s">
        <v>63</v>
      </c>
      <c r="B24" s="1" t="s">
        <v>64</v>
      </c>
      <c r="C24" s="1">
        <v>147234</v>
      </c>
      <c r="D24" s="1">
        <v>379589</v>
      </c>
      <c r="E24" s="1">
        <v>115942</v>
      </c>
      <c r="F24" s="1">
        <v>113462</v>
      </c>
      <c r="G24" s="1">
        <f>SUM(UDISE_2022_23_Table_10_1_04[[#This Row],[Projected Population by Age Group - Overall - Age 3 to 5 - Total]:[Projected Population by Age Group - Overall - Age 16 to 17 - Total]])</f>
        <v>756227</v>
      </c>
      <c r="H24" s="1" t="str" cm="1">
        <f t="array" ref="H24">_xlfn.IFS(
 UDISE_2022_23_Table_10_1_04[[#This Row],[Overall - Population ]] &gt; 10273899.83, "Above-Average",
  UDISE_2022_23_Table_10_1_04[[#This Row],[Overall - Population ]] &lt; 10273899.83, "Below-Average",
  UDISE_2022_23_Table_10_1_04[[#This Row],[Overall - Population ]] = 10273899.83, "Average"
)</f>
        <v>Below-Average</v>
      </c>
    </row>
    <row r="25" spans="1:8" x14ac:dyDescent="0.35">
      <c r="A25" s="1" t="s">
        <v>65</v>
      </c>
      <c r="B25" s="1" t="s">
        <v>66</v>
      </c>
      <c r="C25" s="1">
        <v>218204</v>
      </c>
      <c r="D25" s="1">
        <v>482429</v>
      </c>
      <c r="E25" s="1">
        <v>133598</v>
      </c>
      <c r="F25" s="1">
        <v>136610</v>
      </c>
      <c r="G25" s="1">
        <f>SUM(UDISE_2022_23_Table_10_1_04[[#This Row],[Projected Population by Age Group - Overall - Age 3 to 5 - Total]:[Projected Population by Age Group - Overall - Age 16 to 17 - Total]])</f>
        <v>970841</v>
      </c>
      <c r="H25" s="1" t="str" cm="1">
        <f t="array" ref="H25">_xlfn.IFS(
 UDISE_2022_23_Table_10_1_04[[#This Row],[Overall - Population ]] &gt; 10273899.83, "Above-Average",
  UDISE_2022_23_Table_10_1_04[[#This Row],[Overall - Population ]] &lt; 10273899.83, "Below-Average",
  UDISE_2022_23_Table_10_1_04[[#This Row],[Overall - Population ]] = 10273899.83, "Average"
)</f>
        <v>Below-Average</v>
      </c>
    </row>
    <row r="26" spans="1:8" x14ac:dyDescent="0.35">
      <c r="A26" s="1" t="s">
        <v>67</v>
      </c>
      <c r="B26" s="1" t="s">
        <v>68</v>
      </c>
      <c r="C26" s="1">
        <v>63065</v>
      </c>
      <c r="D26" s="1">
        <v>147066</v>
      </c>
      <c r="E26" s="1">
        <v>42099</v>
      </c>
      <c r="F26" s="1">
        <v>45706</v>
      </c>
      <c r="G26" s="1">
        <f>SUM(UDISE_2022_23_Table_10_1_04[[#This Row],[Projected Population by Age Group - Overall - Age 3 to 5 - Total]:[Projected Population by Age Group - Overall - Age 16 to 17 - Total]])</f>
        <v>297936</v>
      </c>
      <c r="H26" s="1" t="str" cm="1">
        <f t="array" ref="H26">_xlfn.IFS(
 UDISE_2022_23_Table_10_1_04[[#This Row],[Overall - Population ]] &gt; 10273899.83, "Above-Average",
  UDISE_2022_23_Table_10_1_04[[#This Row],[Overall - Population ]] &lt; 10273899.83, "Below-Average",
  UDISE_2022_23_Table_10_1_04[[#This Row],[Overall - Population ]] = 10273899.83, "Average"
)</f>
        <v>Below-Average</v>
      </c>
    </row>
    <row r="27" spans="1:8" x14ac:dyDescent="0.35">
      <c r="A27" s="1" t="s">
        <v>69</v>
      </c>
      <c r="B27" s="1" t="s">
        <v>70</v>
      </c>
      <c r="C27" s="1">
        <v>116194</v>
      </c>
      <c r="D27" s="1">
        <v>304327</v>
      </c>
      <c r="E27" s="1">
        <v>91379</v>
      </c>
      <c r="F27" s="1">
        <v>94664</v>
      </c>
      <c r="G27" s="1">
        <f>SUM(UDISE_2022_23_Table_10_1_04[[#This Row],[Projected Population by Age Group - Overall - Age 3 to 5 - Total]:[Projected Population by Age Group - Overall - Age 16 to 17 - Total]])</f>
        <v>606564</v>
      </c>
      <c r="H27" s="1" t="str" cm="1">
        <f t="array" ref="H27">_xlfn.IFS(
 UDISE_2022_23_Table_10_1_04[[#This Row],[Overall - Population ]] &gt; 10273899.83, "Above-Average",
  UDISE_2022_23_Table_10_1_04[[#This Row],[Overall - Population ]] &lt; 10273899.83, "Below-Average",
  UDISE_2022_23_Table_10_1_04[[#This Row],[Overall - Population ]] = 10273899.83, "Average"
)</f>
        <v>Below-Average</v>
      </c>
    </row>
    <row r="28" spans="1:8" x14ac:dyDescent="0.35">
      <c r="A28" s="1" t="s">
        <v>71</v>
      </c>
      <c r="B28" s="1" t="s">
        <v>72</v>
      </c>
      <c r="C28" s="1">
        <v>2518333</v>
      </c>
      <c r="D28" s="1">
        <v>5800200</v>
      </c>
      <c r="E28" s="1">
        <v>1532000</v>
      </c>
      <c r="F28" s="1">
        <v>1565600</v>
      </c>
      <c r="G28" s="1">
        <f>SUM(UDISE_2022_23_Table_10_1_04[[#This Row],[Projected Population by Age Group - Overall - Age 3 to 5 - Total]:[Projected Population by Age Group - Overall - Age 16 to 17 - Total]])</f>
        <v>11416133</v>
      </c>
      <c r="H28" s="1" t="str" cm="1">
        <f t="array" ref="H28">_xlfn.IFS(
 UDISE_2022_23_Table_10_1_04[[#This Row],[Overall - Population ]] &gt; 10273899.83, "Above-Average",
  UDISE_2022_23_Table_10_1_04[[#This Row],[Overall - Population ]] &lt; 10273899.83, "Below-Average",
  UDISE_2022_23_Table_10_1_04[[#This Row],[Overall - Population ]] = 10273899.83, "Average"
)</f>
        <v>Above-Average</v>
      </c>
    </row>
    <row r="29" spans="1:8" x14ac:dyDescent="0.35">
      <c r="A29" s="1" t="s">
        <v>73</v>
      </c>
      <c r="B29" s="1" t="s">
        <v>74</v>
      </c>
      <c r="C29" s="1">
        <v>65826</v>
      </c>
      <c r="D29" s="1">
        <v>145630</v>
      </c>
      <c r="E29" s="1">
        <v>39800</v>
      </c>
      <c r="F29" s="1">
        <v>38836</v>
      </c>
      <c r="G29" s="1">
        <f>SUM(UDISE_2022_23_Table_10_1_04[[#This Row],[Projected Population by Age Group - Overall - Age 3 to 5 - Total]:[Projected Population by Age Group - Overall - Age 16 to 17 - Total]])</f>
        <v>290092</v>
      </c>
      <c r="H29" s="1" t="str" cm="1">
        <f t="array" ref="H29">_xlfn.IFS(
 UDISE_2022_23_Table_10_1_04[[#This Row],[Overall - Population ]] &gt; 10273899.83, "Above-Average",
  UDISE_2022_23_Table_10_1_04[[#This Row],[Overall - Population ]] &lt; 10273899.83, "Below-Average",
  UDISE_2022_23_Table_10_1_04[[#This Row],[Overall - Population ]] = 10273899.83, "Average"
)</f>
        <v>Below-Average</v>
      </c>
    </row>
    <row r="30" spans="1:8" x14ac:dyDescent="0.35">
      <c r="A30" s="1" t="s">
        <v>75</v>
      </c>
      <c r="B30" s="1" t="s">
        <v>76</v>
      </c>
      <c r="C30" s="1">
        <v>1424933</v>
      </c>
      <c r="D30" s="1">
        <v>3348800</v>
      </c>
      <c r="E30" s="1">
        <v>901200</v>
      </c>
      <c r="F30" s="1">
        <v>938000</v>
      </c>
      <c r="G30" s="1">
        <f>SUM(UDISE_2022_23_Table_10_1_04[[#This Row],[Projected Population by Age Group - Overall - Age 3 to 5 - Total]:[Projected Population by Age Group - Overall - Age 16 to 17 - Total]])</f>
        <v>6612933</v>
      </c>
      <c r="H30" s="1" t="str" cm="1">
        <f t="array" ref="H30">_xlfn.IFS(
 UDISE_2022_23_Table_10_1_04[[#This Row],[Overall - Population ]] &gt; 10273899.83, "Above-Average",
  UDISE_2022_23_Table_10_1_04[[#This Row],[Overall - Population ]] &lt; 10273899.83, "Below-Average",
  UDISE_2022_23_Table_10_1_04[[#This Row],[Overall - Population ]] = 10273899.83, "Average"
)</f>
        <v>Below-Average</v>
      </c>
    </row>
    <row r="31" spans="1:8" x14ac:dyDescent="0.35">
      <c r="A31" s="1" t="s">
        <v>77</v>
      </c>
      <c r="B31" s="1" t="s">
        <v>78</v>
      </c>
      <c r="C31" s="1">
        <v>6043800</v>
      </c>
      <c r="D31" s="1">
        <v>12386200</v>
      </c>
      <c r="E31" s="1">
        <v>3032200</v>
      </c>
      <c r="F31" s="1">
        <v>3070600</v>
      </c>
      <c r="G31" s="1">
        <f>SUM(UDISE_2022_23_Table_10_1_04[[#This Row],[Projected Population by Age Group - Overall - Age 3 to 5 - Total]:[Projected Population by Age Group - Overall - Age 16 to 17 - Total]])</f>
        <v>24532800</v>
      </c>
      <c r="H31" s="1" t="str" cm="1">
        <f t="array" ref="H31">_xlfn.IFS(
 UDISE_2022_23_Table_10_1_04[[#This Row],[Overall - Population ]] &gt; 10273899.83, "Above-Average",
  UDISE_2022_23_Table_10_1_04[[#This Row],[Overall - Population ]] &lt; 10273899.83, "Below-Average",
  UDISE_2022_23_Table_10_1_04[[#This Row],[Overall - Population ]] = 10273899.83, "Average"
)</f>
        <v>Above-Average</v>
      </c>
    </row>
    <row r="32" spans="1:8" x14ac:dyDescent="0.35">
      <c r="A32" s="1" t="s">
        <v>79</v>
      </c>
      <c r="B32" s="1" t="s">
        <v>80</v>
      </c>
      <c r="C32" s="1">
        <v>25784</v>
      </c>
      <c r="D32" s="1">
        <v>78450</v>
      </c>
      <c r="E32" s="1">
        <v>25156</v>
      </c>
      <c r="F32" s="1">
        <v>27643</v>
      </c>
      <c r="G32" s="1">
        <f>SUM(UDISE_2022_23_Table_10_1_04[[#This Row],[Projected Population by Age Group - Overall - Age 3 to 5 - Total]:[Projected Population by Age Group - Overall - Age 16 to 17 - Total]])</f>
        <v>157033</v>
      </c>
      <c r="H32" s="1" t="str" cm="1">
        <f t="array" ref="H32">_xlfn.IFS(
 UDISE_2022_23_Table_10_1_04[[#This Row],[Overall - Population ]] &gt; 10273899.83, "Above-Average",
  UDISE_2022_23_Table_10_1_04[[#This Row],[Overall - Population ]] &lt; 10273899.83, "Below-Average",
  UDISE_2022_23_Table_10_1_04[[#This Row],[Overall - Population ]] = 10273899.83, "Average"
)</f>
        <v>Below-Average</v>
      </c>
    </row>
    <row r="33" spans="1:8" x14ac:dyDescent="0.35">
      <c r="A33" s="1" t="s">
        <v>81</v>
      </c>
      <c r="B33" s="1" t="s">
        <v>82</v>
      </c>
      <c r="C33" s="1">
        <v>3716000</v>
      </c>
      <c r="D33" s="1">
        <v>8207400</v>
      </c>
      <c r="E33" s="1">
        <v>2135800</v>
      </c>
      <c r="F33" s="1">
        <v>2178000</v>
      </c>
      <c r="G33" s="1">
        <f>SUM(UDISE_2022_23_Table_10_1_04[[#This Row],[Projected Population by Age Group - Overall - Age 3 to 5 - Total]:[Projected Population by Age Group - Overall - Age 16 to 17 - Total]])</f>
        <v>16237200</v>
      </c>
      <c r="H33" s="1" t="str" cm="1">
        <f t="array" ref="H33">_xlfn.IFS(
 UDISE_2022_23_Table_10_1_04[[#This Row],[Overall - Population ]] &gt; 10273899.83, "Above-Average",
  UDISE_2022_23_Table_10_1_04[[#This Row],[Overall - Population ]] &lt; 10273899.83, "Below-Average",
  UDISE_2022_23_Table_10_1_04[[#This Row],[Overall - Population ]] = 10273899.83, "Average"
)</f>
        <v>Above-Average</v>
      </c>
    </row>
    <row r="34" spans="1:8" x14ac:dyDescent="0.35">
      <c r="A34" s="1" t="s">
        <v>83</v>
      </c>
      <c r="B34" s="1" t="s">
        <v>84</v>
      </c>
      <c r="C34" s="1">
        <v>2039000</v>
      </c>
      <c r="D34" s="1">
        <v>4317600</v>
      </c>
      <c r="E34" s="1">
        <v>1144600</v>
      </c>
      <c r="F34" s="1">
        <v>1193200</v>
      </c>
      <c r="G34" s="1">
        <f>SUM(UDISE_2022_23_Table_10_1_04[[#This Row],[Projected Population by Age Group - Overall - Age 3 to 5 - Total]:[Projected Population by Age Group - Overall - Age 16 to 17 - Total]])</f>
        <v>8694400</v>
      </c>
      <c r="H34" s="1" t="str" cm="1">
        <f t="array" ref="H34">_xlfn.IFS(
 UDISE_2022_23_Table_10_1_04[[#This Row],[Overall - Population ]] &gt; 10273899.83, "Above-Average",
  UDISE_2022_23_Table_10_1_04[[#This Row],[Overall - Population ]] &lt; 10273899.83, "Below-Average",
  UDISE_2022_23_Table_10_1_04[[#This Row],[Overall - Population ]] = 10273899.83, "Average"
)</f>
        <v>Below-Average</v>
      </c>
    </row>
    <row r="35" spans="1:8" x14ac:dyDescent="0.35">
      <c r="A35" s="1" t="s">
        <v>85</v>
      </c>
      <c r="B35" s="1" t="s">
        <v>86</v>
      </c>
      <c r="C35" s="1">
        <v>186946</v>
      </c>
      <c r="D35" s="1">
        <v>436587</v>
      </c>
      <c r="E35" s="1">
        <v>131698</v>
      </c>
      <c r="F35" s="1">
        <v>144553</v>
      </c>
      <c r="G35" s="1">
        <f>SUM(UDISE_2022_23_Table_10_1_04[[#This Row],[Projected Population by Age Group - Overall - Age 3 to 5 - Total]:[Projected Population by Age Group - Overall - Age 16 to 17 - Total]])</f>
        <v>899784</v>
      </c>
      <c r="H35" s="1" t="str" cm="1">
        <f t="array" ref="H35">_xlfn.IFS(
 UDISE_2022_23_Table_10_1_04[[#This Row],[Overall - Population ]] &gt; 10273899.83, "Above-Average",
  UDISE_2022_23_Table_10_1_04[[#This Row],[Overall - Population ]] &lt; 10273899.83, "Below-Average",
  UDISE_2022_23_Table_10_1_04[[#This Row],[Overall - Population ]] = 10273899.83, "Average"
)</f>
        <v>Below-Average</v>
      </c>
    </row>
    <row r="36" spans="1:8" x14ac:dyDescent="0.35">
      <c r="A36" s="1" t="s">
        <v>87</v>
      </c>
      <c r="B36" s="1" t="s">
        <v>88</v>
      </c>
      <c r="C36" s="1">
        <v>17166757</v>
      </c>
      <c r="D36" s="1">
        <v>36919847</v>
      </c>
      <c r="E36" s="1">
        <v>9020470</v>
      </c>
      <c r="F36" s="1">
        <v>9248386</v>
      </c>
      <c r="G36" s="1">
        <f>SUM(UDISE_2022_23_Table_10_1_04[[#This Row],[Projected Population by Age Group - Overall - Age 3 to 5 - Total]:[Projected Population by Age Group - Overall - Age 16 to 17 - Total]])</f>
        <v>72355460</v>
      </c>
      <c r="H36" s="1" t="str" cm="1">
        <f t="array" ref="H36">_xlfn.IFS(
 UDISE_2022_23_Table_10_1_04[[#This Row],[Overall - Population ]] &gt; 10273899.83, "Above-Average",
  UDISE_2022_23_Table_10_1_04[[#This Row],[Overall - Population ]] &lt; 10273899.83, "Below-Average",
  UDISE_2022_23_Table_10_1_04[[#This Row],[Overall - Population ]] = 10273899.83, "Average"
)</f>
        <v>Above-Average</v>
      </c>
    </row>
    <row r="37" spans="1:8" x14ac:dyDescent="0.35">
      <c r="A37" s="1" t="s">
        <v>89</v>
      </c>
      <c r="B37" s="1" t="s">
        <v>90</v>
      </c>
      <c r="C37" s="1">
        <v>689200</v>
      </c>
      <c r="D37" s="1">
        <v>1428200</v>
      </c>
      <c r="E37" s="1">
        <v>391600</v>
      </c>
      <c r="F37" s="1">
        <v>408200</v>
      </c>
      <c r="G37" s="1">
        <f>SUM(UDISE_2022_23_Table_10_1_04[[#This Row],[Projected Population by Age Group - Overall - Age 3 to 5 - Total]:[Projected Population by Age Group - Overall - Age 16 to 17 - Total]])</f>
        <v>2917200</v>
      </c>
      <c r="H37" s="1" t="str" cm="1">
        <f t="array" ref="H37">_xlfn.IFS(
 UDISE_2022_23_Table_10_1_04[[#This Row],[Overall - Population ]] &gt; 10273899.83, "Above-Average",
  UDISE_2022_23_Table_10_1_04[[#This Row],[Overall - Population ]] &lt; 10273899.83, "Below-Average",
  UDISE_2022_23_Table_10_1_04[[#This Row],[Overall - Population ]] = 10273899.83, "Average"
)</f>
        <v>Below-Average</v>
      </c>
    </row>
    <row r="38" spans="1:8" x14ac:dyDescent="0.35">
      <c r="A38" s="1" t="s">
        <v>91</v>
      </c>
      <c r="B38" s="1" t="s">
        <v>92</v>
      </c>
      <c r="C38" s="1">
        <v>4648600</v>
      </c>
      <c r="D38" s="1">
        <v>11224000</v>
      </c>
      <c r="E38" s="1">
        <v>3077600</v>
      </c>
      <c r="F38" s="1">
        <v>3185600</v>
      </c>
      <c r="G38" s="1">
        <f>SUM(UDISE_2022_23_Table_10_1_04[[#This Row],[Projected Population by Age Group - Overall - Age 3 to 5 - Total]:[Projected Population by Age Group - Overall - Age 16 to 17 - Total]])</f>
        <v>22135800</v>
      </c>
      <c r="H38" s="1" t="str" cm="1">
        <f t="array" ref="H38">_xlfn.IFS(
 UDISE_2022_23_Table_10_1_04[[#This Row],[Overall - Population ]] &gt; 10273899.83, "Above-Average",
  UDISE_2022_23_Table_10_1_04[[#This Row],[Overall - Population ]] &lt; 10273899.83, "Below-Average",
  UDISE_2022_23_Table_10_1_04[[#This Row],[Overall - Population ]] = 10273899.83, "Average"
)</f>
        <v>Above-Average</v>
      </c>
    </row>
    <row r="41" spans="1:8" x14ac:dyDescent="0.35">
      <c r="F41" s="4" t="s">
        <v>102</v>
      </c>
      <c r="G41" s="1">
        <f xml:space="preserve"> AVERAGE(G3:G38)</f>
        <v>10273899.833333334</v>
      </c>
    </row>
    <row r="43" spans="1:8" x14ac:dyDescent="0.35">
      <c r="H43">
        <v>10273899.83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8DCAB-A545-49A6-B06B-FA7DCE3E1418}">
  <dimension ref="A1:B41"/>
  <sheetViews>
    <sheetView workbookViewId="0">
      <selection activeCell="O15" sqref="O15"/>
    </sheetView>
  </sheetViews>
  <sheetFormatPr defaultRowHeight="14.5" x14ac:dyDescent="0.35"/>
  <cols>
    <col min="1" max="1" width="38.08984375" bestFit="1" customWidth="1"/>
    <col min="2" max="2" width="24.453125" bestFit="1" customWidth="1"/>
    <col min="3" max="4" width="5.81640625" bestFit="1" customWidth="1"/>
    <col min="5" max="15" width="6.81640625" bestFit="1" customWidth="1"/>
    <col min="16" max="25" width="7.81640625" bestFit="1" customWidth="1"/>
    <col min="26" max="37" width="8.81640625" bestFit="1" customWidth="1"/>
    <col min="38" max="38" width="9.81640625" bestFit="1" customWidth="1"/>
    <col min="39" max="39" width="10.7265625" bestFit="1" customWidth="1"/>
    <col min="40" max="40" width="7.81640625" bestFit="1" customWidth="1"/>
    <col min="41" max="41" width="12.54296875" bestFit="1" customWidth="1"/>
    <col min="42" max="42" width="7.81640625" bestFit="1" customWidth="1"/>
    <col min="43" max="43" width="12.54296875" bestFit="1" customWidth="1"/>
    <col min="44" max="44" width="7.81640625" bestFit="1" customWidth="1"/>
    <col min="45" max="45" width="12.54296875" bestFit="1" customWidth="1"/>
    <col min="46" max="46" width="7.81640625" bestFit="1" customWidth="1"/>
    <col min="47" max="47" width="12.54296875" bestFit="1" customWidth="1"/>
    <col min="48" max="48" width="7.81640625" bestFit="1" customWidth="1"/>
    <col min="49" max="49" width="12.54296875" bestFit="1" customWidth="1"/>
    <col min="50" max="50" width="8.81640625" bestFit="1" customWidth="1"/>
    <col min="51" max="51" width="12.54296875" bestFit="1" customWidth="1"/>
    <col min="52" max="52" width="8.81640625" bestFit="1" customWidth="1"/>
    <col min="53" max="53" width="12.54296875" bestFit="1" customWidth="1"/>
    <col min="54" max="54" width="8.81640625" bestFit="1" customWidth="1"/>
    <col min="55" max="55" width="12.54296875" bestFit="1" customWidth="1"/>
    <col min="56" max="56" width="8.81640625" bestFit="1" customWidth="1"/>
    <col min="57" max="57" width="12.54296875" bestFit="1" customWidth="1"/>
    <col min="58" max="58" width="8.81640625" bestFit="1" customWidth="1"/>
    <col min="59" max="59" width="12.54296875" bestFit="1" customWidth="1"/>
    <col min="60" max="60" width="8.81640625" bestFit="1" customWidth="1"/>
    <col min="61" max="61" width="12.54296875" bestFit="1" customWidth="1"/>
    <col min="62" max="62" width="8.81640625" bestFit="1" customWidth="1"/>
    <col min="63" max="63" width="12.54296875" bestFit="1" customWidth="1"/>
    <col min="64" max="64" width="8.81640625" bestFit="1" customWidth="1"/>
    <col min="65" max="65" width="12.54296875" bestFit="1" customWidth="1"/>
    <col min="66" max="66" width="8.81640625" bestFit="1" customWidth="1"/>
    <col min="67" max="67" width="12.54296875" bestFit="1" customWidth="1"/>
    <col min="68" max="68" width="8.81640625" bestFit="1" customWidth="1"/>
    <col min="69" max="69" width="12.54296875" bestFit="1" customWidth="1"/>
    <col min="70" max="70" width="8.81640625" bestFit="1" customWidth="1"/>
    <col min="71" max="71" width="13.6328125" bestFit="1" customWidth="1"/>
    <col min="72" max="72" width="8.81640625" bestFit="1" customWidth="1"/>
    <col min="73" max="73" width="13.6328125" bestFit="1" customWidth="1"/>
    <col min="74" max="74" width="9.81640625" bestFit="1" customWidth="1"/>
    <col min="75" max="75" width="13.6328125" bestFit="1" customWidth="1"/>
    <col min="76" max="76" width="10.7265625" bestFit="1" customWidth="1"/>
    <col min="77" max="77" width="8.81640625" bestFit="1" customWidth="1"/>
    <col min="78" max="79" width="12.54296875" bestFit="1" customWidth="1"/>
    <col min="80" max="80" width="8.81640625" bestFit="1" customWidth="1"/>
    <col min="81" max="82" width="12.54296875" bestFit="1" customWidth="1"/>
    <col min="83" max="83" width="8.81640625" bestFit="1" customWidth="1"/>
    <col min="84" max="85" width="12.54296875" bestFit="1" customWidth="1"/>
    <col min="86" max="86" width="8.81640625" bestFit="1" customWidth="1"/>
    <col min="87" max="88" width="12.54296875" bestFit="1" customWidth="1"/>
    <col min="89" max="89" width="8.81640625" bestFit="1" customWidth="1"/>
    <col min="90" max="91" width="12.54296875" bestFit="1" customWidth="1"/>
    <col min="92" max="92" width="8.81640625" bestFit="1" customWidth="1"/>
    <col min="93" max="94" width="12.54296875" bestFit="1" customWidth="1"/>
    <col min="95" max="95" width="8.81640625" bestFit="1" customWidth="1"/>
    <col min="96" max="97" width="12.54296875" bestFit="1" customWidth="1"/>
    <col min="98" max="98" width="8.81640625" bestFit="1" customWidth="1"/>
    <col min="99" max="100" width="12.54296875" bestFit="1" customWidth="1"/>
    <col min="101" max="101" width="8.81640625" bestFit="1" customWidth="1"/>
    <col min="102" max="103" width="12.54296875" bestFit="1" customWidth="1"/>
    <col min="104" max="104" width="8.81640625" bestFit="1" customWidth="1"/>
    <col min="105" max="105" width="13.6328125" bestFit="1" customWidth="1"/>
    <col min="106" max="106" width="12.54296875" bestFit="1" customWidth="1"/>
    <col min="107" max="107" width="8.81640625" bestFit="1" customWidth="1"/>
    <col min="108" max="108" width="13.6328125" bestFit="1" customWidth="1"/>
    <col min="109" max="109" width="12.54296875" bestFit="1" customWidth="1"/>
    <col min="110" max="110" width="9.81640625" bestFit="1" customWidth="1"/>
    <col min="111" max="112" width="13.6328125" bestFit="1" customWidth="1"/>
    <col min="113" max="113" width="10.7265625" bestFit="1" customWidth="1"/>
    <col min="114" max="114" width="8.81640625" bestFit="1" customWidth="1"/>
    <col min="115" max="117" width="12.54296875" bestFit="1" customWidth="1"/>
    <col min="118" max="118" width="8.81640625" bestFit="1" customWidth="1"/>
    <col min="119" max="121" width="12.54296875" bestFit="1" customWidth="1"/>
    <col min="122" max="122" width="8.81640625" bestFit="1" customWidth="1"/>
    <col min="123" max="125" width="12.54296875" bestFit="1" customWidth="1"/>
    <col min="126" max="126" width="8.81640625" bestFit="1" customWidth="1"/>
    <col min="127" max="129" width="12.54296875" bestFit="1" customWidth="1"/>
    <col min="130" max="130" width="8.81640625" bestFit="1" customWidth="1"/>
    <col min="131" max="133" width="12.54296875" bestFit="1" customWidth="1"/>
    <col min="134" max="134" width="8.81640625" bestFit="1" customWidth="1"/>
    <col min="135" max="137" width="12.54296875" bestFit="1" customWidth="1"/>
    <col min="138" max="138" width="8.81640625" bestFit="1" customWidth="1"/>
    <col min="139" max="139" width="13.6328125" bestFit="1" customWidth="1"/>
    <col min="140" max="141" width="12.54296875" bestFit="1" customWidth="1"/>
    <col min="142" max="142" width="8.81640625" bestFit="1" customWidth="1"/>
    <col min="143" max="143" width="13.6328125" bestFit="1" customWidth="1"/>
    <col min="144" max="145" width="12.54296875" bestFit="1" customWidth="1"/>
    <col min="146" max="146" width="9.81640625" bestFit="1" customWidth="1"/>
    <col min="147" max="149" width="13.6328125" bestFit="1" customWidth="1"/>
    <col min="150" max="150" width="10.7265625" bestFit="1" customWidth="1"/>
  </cols>
  <sheetData>
    <row r="1" spans="1:2" x14ac:dyDescent="0.35">
      <c r="A1" s="2" t="s">
        <v>97</v>
      </c>
      <c r="B1" t="s">
        <v>95</v>
      </c>
    </row>
    <row r="3" spans="1:2" x14ac:dyDescent="0.35">
      <c r="A3" s="2" t="s">
        <v>93</v>
      </c>
      <c r="B3" t="s">
        <v>105</v>
      </c>
    </row>
    <row r="4" spans="1:2" x14ac:dyDescent="0.35">
      <c r="A4" s="3" t="s">
        <v>22</v>
      </c>
      <c r="B4">
        <v>89501</v>
      </c>
    </row>
    <row r="5" spans="1:2" x14ac:dyDescent="0.35">
      <c r="A5" s="3" t="s">
        <v>24</v>
      </c>
      <c r="B5">
        <v>11591800</v>
      </c>
    </row>
    <row r="6" spans="1:2" x14ac:dyDescent="0.35">
      <c r="A6" s="3" t="s">
        <v>26</v>
      </c>
      <c r="B6">
        <v>433688</v>
      </c>
    </row>
    <row r="7" spans="1:2" x14ac:dyDescent="0.35">
      <c r="A7" s="3" t="s">
        <v>28</v>
      </c>
      <c r="B7">
        <v>9978200</v>
      </c>
    </row>
    <row r="8" spans="1:2" x14ac:dyDescent="0.35">
      <c r="A8" s="3" t="s">
        <v>30</v>
      </c>
      <c r="B8">
        <v>43355477</v>
      </c>
    </row>
    <row r="9" spans="1:2" x14ac:dyDescent="0.35">
      <c r="A9" s="3" t="s">
        <v>32</v>
      </c>
      <c r="B9">
        <v>271791</v>
      </c>
    </row>
    <row r="10" spans="1:2" x14ac:dyDescent="0.35">
      <c r="A10" s="3" t="s">
        <v>34</v>
      </c>
      <c r="B10">
        <v>8543467</v>
      </c>
    </row>
    <row r="11" spans="1:2" x14ac:dyDescent="0.35">
      <c r="A11" s="3" t="s">
        <v>36</v>
      </c>
      <c r="B11">
        <v>172964</v>
      </c>
    </row>
    <row r="12" spans="1:2" x14ac:dyDescent="0.35">
      <c r="A12" s="3" t="s">
        <v>38</v>
      </c>
      <c r="B12">
        <v>5306108</v>
      </c>
    </row>
    <row r="13" spans="1:2" x14ac:dyDescent="0.35">
      <c r="A13" s="3" t="s">
        <v>40</v>
      </c>
      <c r="B13">
        <v>320012</v>
      </c>
    </row>
    <row r="14" spans="1:2" x14ac:dyDescent="0.35">
      <c r="A14" s="3" t="s">
        <v>42</v>
      </c>
      <c r="B14">
        <v>17905919</v>
      </c>
    </row>
    <row r="15" spans="1:2" x14ac:dyDescent="0.35">
      <c r="A15" s="3" t="s">
        <v>44</v>
      </c>
      <c r="B15">
        <v>7866200</v>
      </c>
    </row>
    <row r="16" spans="1:2" x14ac:dyDescent="0.35">
      <c r="A16" s="3" t="s">
        <v>46</v>
      </c>
      <c r="B16">
        <v>1627867</v>
      </c>
    </row>
    <row r="17" spans="1:2" x14ac:dyDescent="0.35">
      <c r="A17" s="3" t="s">
        <v>20</v>
      </c>
      <c r="B17">
        <v>369860391</v>
      </c>
    </row>
    <row r="18" spans="1:2" x14ac:dyDescent="0.35">
      <c r="A18" s="3" t="s">
        <v>48</v>
      </c>
      <c r="B18">
        <v>3488533</v>
      </c>
    </row>
    <row r="19" spans="1:2" x14ac:dyDescent="0.35">
      <c r="A19" s="3" t="s">
        <v>50</v>
      </c>
      <c r="B19">
        <v>11976400</v>
      </c>
    </row>
    <row r="20" spans="1:2" x14ac:dyDescent="0.35">
      <c r="A20" s="3" t="s">
        <v>52</v>
      </c>
      <c r="B20">
        <v>15763400</v>
      </c>
    </row>
    <row r="21" spans="1:2" x14ac:dyDescent="0.35">
      <c r="A21" s="3" t="s">
        <v>54</v>
      </c>
      <c r="B21">
        <v>7744000</v>
      </c>
    </row>
    <row r="22" spans="1:2" x14ac:dyDescent="0.35">
      <c r="A22" s="3" t="s">
        <v>56</v>
      </c>
      <c r="B22">
        <v>69316</v>
      </c>
    </row>
    <row r="23" spans="1:2" x14ac:dyDescent="0.35">
      <c r="A23" s="3" t="s">
        <v>58</v>
      </c>
      <c r="B23">
        <v>16847</v>
      </c>
    </row>
    <row r="24" spans="1:2" x14ac:dyDescent="0.35">
      <c r="A24" s="3" t="s">
        <v>60</v>
      </c>
      <c r="B24">
        <v>25718701</v>
      </c>
    </row>
    <row r="25" spans="1:2" x14ac:dyDescent="0.35">
      <c r="A25" s="3" t="s">
        <v>62</v>
      </c>
      <c r="B25">
        <v>28739800</v>
      </c>
    </row>
    <row r="26" spans="1:2" x14ac:dyDescent="0.35">
      <c r="A26" s="3" t="s">
        <v>64</v>
      </c>
      <c r="B26">
        <v>756227</v>
      </c>
    </row>
    <row r="27" spans="1:2" x14ac:dyDescent="0.35">
      <c r="A27" s="3" t="s">
        <v>66</v>
      </c>
      <c r="B27">
        <v>970841</v>
      </c>
    </row>
    <row r="28" spans="1:2" x14ac:dyDescent="0.35">
      <c r="A28" s="3" t="s">
        <v>68</v>
      </c>
      <c r="B28">
        <v>297936</v>
      </c>
    </row>
    <row r="29" spans="1:2" x14ac:dyDescent="0.35">
      <c r="A29" s="3" t="s">
        <v>70</v>
      </c>
      <c r="B29">
        <v>606564</v>
      </c>
    </row>
    <row r="30" spans="1:2" x14ac:dyDescent="0.35">
      <c r="A30" s="3" t="s">
        <v>72</v>
      </c>
      <c r="B30">
        <v>11416133</v>
      </c>
    </row>
    <row r="31" spans="1:2" x14ac:dyDescent="0.35">
      <c r="A31" s="3" t="s">
        <v>74</v>
      </c>
      <c r="B31">
        <v>290092</v>
      </c>
    </row>
    <row r="32" spans="1:2" x14ac:dyDescent="0.35">
      <c r="A32" s="3" t="s">
        <v>76</v>
      </c>
      <c r="B32">
        <v>6612933</v>
      </c>
    </row>
    <row r="33" spans="1:2" x14ac:dyDescent="0.35">
      <c r="A33" s="3" t="s">
        <v>78</v>
      </c>
      <c r="B33">
        <v>24532800</v>
      </c>
    </row>
    <row r="34" spans="1:2" x14ac:dyDescent="0.35">
      <c r="A34" s="3" t="s">
        <v>80</v>
      </c>
      <c r="B34">
        <v>157033</v>
      </c>
    </row>
    <row r="35" spans="1:2" x14ac:dyDescent="0.35">
      <c r="A35" s="3" t="s">
        <v>82</v>
      </c>
      <c r="B35">
        <v>16237200</v>
      </c>
    </row>
    <row r="36" spans="1:2" x14ac:dyDescent="0.35">
      <c r="A36" s="3" t="s">
        <v>84</v>
      </c>
      <c r="B36">
        <v>8694400</v>
      </c>
    </row>
    <row r="37" spans="1:2" x14ac:dyDescent="0.35">
      <c r="A37" s="3" t="s">
        <v>86</v>
      </c>
      <c r="B37">
        <v>899784</v>
      </c>
    </row>
    <row r="38" spans="1:2" x14ac:dyDescent="0.35">
      <c r="A38" s="3" t="s">
        <v>88</v>
      </c>
      <c r="B38">
        <v>72355460</v>
      </c>
    </row>
    <row r="39" spans="1:2" x14ac:dyDescent="0.35">
      <c r="A39" s="3" t="s">
        <v>90</v>
      </c>
      <c r="B39">
        <v>2917200</v>
      </c>
    </row>
    <row r="40" spans="1:2" x14ac:dyDescent="0.35">
      <c r="A40" s="3" t="s">
        <v>92</v>
      </c>
      <c r="B40">
        <v>22135800</v>
      </c>
    </row>
    <row r="41" spans="1:2" x14ac:dyDescent="0.35">
      <c r="A41" s="3" t="s">
        <v>94</v>
      </c>
      <c r="B41">
        <v>739720785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339C4-F0A8-4472-A79A-0DA7DE2F2C4C}">
  <dimension ref="A1"/>
  <sheetViews>
    <sheetView workbookViewId="0">
      <selection activeCell="D6" sqref="D6"/>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16EBB-0135-4F32-8D7D-AE2E4B900C52}">
  <dimension ref="A1"/>
  <sheetViews>
    <sheetView workbookViewId="0">
      <selection activeCell="I18" sqref="I18"/>
    </sheetView>
  </sheetViews>
  <sheetFormatPr defaultRowHeight="14.5" x14ac:dyDescent="0.3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28787-34B8-4382-8CE3-019C8432395F}">
  <dimension ref="A1:H40"/>
  <sheetViews>
    <sheetView topLeftCell="A25" workbookViewId="0">
      <selection activeCell="A44" sqref="A44"/>
    </sheetView>
  </sheetViews>
  <sheetFormatPr defaultRowHeight="14.5" x14ac:dyDescent="0.35"/>
  <cols>
    <col min="2" max="2" width="38.08984375" bestFit="1" customWidth="1"/>
    <col min="3" max="3" width="58.54296875" bestFit="1" customWidth="1"/>
    <col min="4" max="4" width="59.54296875" bestFit="1" customWidth="1"/>
    <col min="5" max="6" width="60.54296875" bestFit="1" customWidth="1"/>
    <col min="7" max="7" width="26.6328125" bestFit="1" customWidth="1"/>
    <col min="8" max="8" width="33.54296875" bestFit="1" customWidth="1"/>
  </cols>
  <sheetData>
    <row r="1" spans="1:8" x14ac:dyDescent="0.35">
      <c r="A1" s="1" t="s">
        <v>0</v>
      </c>
      <c r="B1" s="1" t="s">
        <v>1</v>
      </c>
      <c r="C1" s="1" t="s">
        <v>2</v>
      </c>
      <c r="D1" s="1" t="s">
        <v>11</v>
      </c>
      <c r="E1" s="1" t="s">
        <v>14</v>
      </c>
      <c r="F1" s="1" t="s">
        <v>17</v>
      </c>
      <c r="G1" s="1" t="s">
        <v>98</v>
      </c>
      <c r="H1" s="1" t="s">
        <v>99</v>
      </c>
    </row>
    <row r="2" spans="1:8" x14ac:dyDescent="0.35">
      <c r="A2" s="1" t="s">
        <v>20</v>
      </c>
      <c r="B2" s="1" t="s">
        <v>20</v>
      </c>
      <c r="C2" s="1">
        <v>45529499</v>
      </c>
      <c r="D2" s="1">
        <v>99257381</v>
      </c>
      <c r="E2" s="1">
        <v>25151910</v>
      </c>
      <c r="F2" s="1">
        <v>25683007</v>
      </c>
      <c r="G2" s="1">
        <f>SUM(UDISE_2022_23_Table_10_1_04[[#This Row],[Projected Population by Age Group - Overall - Age 3 to 5 - Total]:[Projected Population by Age Group - Overall - Age 16 to 17 - Total]])</f>
        <v>369860391</v>
      </c>
      <c r="H2" s="1" t="str" cm="1">
        <f t="array" ref="H2">_xlfn.IFS(UDISE_2022_23_Table_10_1_05[[#This Row],[Overall - Boys - Population]]&gt;10273899.83,"Above- Average",UDISE_2022_23_Table_10_1_05[[#This Row],[Overall - Boys - Population]]&lt;10273899.83,"Below - Average",UDISE_2022_23_Table_10_1_05[[#This Row],[Overall - Boys - Population]]=10273899.83,"Average")</f>
        <v>Above- Average</v>
      </c>
    </row>
    <row r="3" spans="1:8" x14ac:dyDescent="0.35">
      <c r="A3" s="1" t="s">
        <v>21</v>
      </c>
      <c r="B3" s="1" t="s">
        <v>22</v>
      </c>
      <c r="C3" s="1">
        <v>9206</v>
      </c>
      <c r="D3" s="1">
        <v>23851</v>
      </c>
      <c r="E3" s="1">
        <v>6660</v>
      </c>
      <c r="F3" s="1">
        <v>6675</v>
      </c>
      <c r="G3" s="1">
        <f>SUM(UDISE_2022_23_Table_10_1_04[[#This Row],[Projected Population by Age Group - Overall - Age 3 to 5 - Total]:[Projected Population by Age Group - Overall - Age 16 to 17 - Total]])</f>
        <v>89501</v>
      </c>
      <c r="H3" s="1" t="str" cm="1">
        <f t="array" ref="H3">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4" spans="1:8" x14ac:dyDescent="0.35">
      <c r="A4" s="1" t="s">
        <v>23</v>
      </c>
      <c r="B4" s="1" t="s">
        <v>24</v>
      </c>
      <c r="C4" s="1">
        <v>1403600</v>
      </c>
      <c r="D4" s="1">
        <v>3011200</v>
      </c>
      <c r="E4" s="1">
        <v>776400</v>
      </c>
      <c r="F4" s="1">
        <v>811400</v>
      </c>
      <c r="G4" s="1">
        <f>SUM(UDISE_2022_23_Table_10_1_04[[#This Row],[Projected Population by Age Group - Overall - Age 3 to 5 - Total]:[Projected Population by Age Group - Overall - Age 16 to 17 - Total]])</f>
        <v>11591800</v>
      </c>
      <c r="H4" s="1" t="str" cm="1">
        <f t="array" ref="H4">_xlfn.IFS(UDISE_2022_23_Table_10_1_05[[#This Row],[Overall - Boys - Population]]&gt;10273899.83,"Above- Average",UDISE_2022_23_Table_10_1_05[[#This Row],[Overall - Boys - Population]]&lt;10273899.83,"Below - Average",UDISE_2022_23_Table_10_1_05[[#This Row],[Overall - Boys - Population]]=10273899.83,"Average")</f>
        <v>Above- Average</v>
      </c>
    </row>
    <row r="5" spans="1:8" x14ac:dyDescent="0.35">
      <c r="A5" s="1" t="s">
        <v>25</v>
      </c>
      <c r="B5" s="1" t="s">
        <v>26</v>
      </c>
      <c r="C5" s="1">
        <v>43890</v>
      </c>
      <c r="D5" s="1">
        <v>111973</v>
      </c>
      <c r="E5" s="1">
        <v>33518</v>
      </c>
      <c r="F5" s="1">
        <v>31750</v>
      </c>
      <c r="G5" s="1">
        <f>SUM(UDISE_2022_23_Table_10_1_04[[#This Row],[Projected Population by Age Group - Overall - Age 3 to 5 - Total]:[Projected Population by Age Group - Overall - Age 16 to 17 - Total]])</f>
        <v>433688</v>
      </c>
      <c r="H5" s="1" t="str" cm="1">
        <f t="array" ref="H5">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6" spans="1:8" x14ac:dyDescent="0.35">
      <c r="A6" s="1" t="s">
        <v>27</v>
      </c>
      <c r="B6" s="1" t="s">
        <v>28</v>
      </c>
      <c r="C6" s="1">
        <v>1241400</v>
      </c>
      <c r="D6" s="1">
        <v>2554000</v>
      </c>
      <c r="E6" s="1">
        <v>672800</v>
      </c>
      <c r="F6" s="1">
        <v>684400</v>
      </c>
      <c r="G6" s="1">
        <f>SUM(UDISE_2022_23_Table_10_1_04[[#This Row],[Projected Population by Age Group - Overall - Age 3 to 5 - Total]:[Projected Population by Age Group - Overall - Age 16 to 17 - Total]])</f>
        <v>9978200</v>
      </c>
      <c r="H6" s="1" t="str" cm="1">
        <f t="array" ref="H6">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7" spans="1:8" x14ac:dyDescent="0.35">
      <c r="A7" s="1" t="s">
        <v>29</v>
      </c>
      <c r="B7" s="1" t="s">
        <v>30</v>
      </c>
      <c r="C7" s="1">
        <v>5422577</v>
      </c>
      <c r="D7" s="1">
        <v>11869975</v>
      </c>
      <c r="E7" s="1">
        <v>2948313</v>
      </c>
      <c r="F7" s="1">
        <v>2954931</v>
      </c>
      <c r="G7" s="1">
        <f>SUM(UDISE_2022_23_Table_10_1_04[[#This Row],[Projected Population by Age Group - Overall - Age 3 to 5 - Total]:[Projected Population by Age Group - Overall - Age 16 to 17 - Total]])</f>
        <v>43355477</v>
      </c>
      <c r="H7" s="1" t="str" cm="1">
        <f t="array" ref="H7">_xlfn.IFS(UDISE_2022_23_Table_10_1_05[[#This Row],[Overall - Boys - Population]]&gt;10273899.83,"Above- Average",UDISE_2022_23_Table_10_1_05[[#This Row],[Overall - Boys - Population]]&lt;10273899.83,"Below - Average",UDISE_2022_23_Table_10_1_05[[#This Row],[Overall - Boys - Population]]=10273899.83,"Average")</f>
        <v>Above- Average</v>
      </c>
    </row>
    <row r="8" spans="1:8" x14ac:dyDescent="0.35">
      <c r="A8" s="1" t="s">
        <v>31</v>
      </c>
      <c r="B8" s="1" t="s">
        <v>32</v>
      </c>
      <c r="C8" s="1">
        <v>30138</v>
      </c>
      <c r="D8" s="1">
        <v>76053</v>
      </c>
      <c r="E8" s="1">
        <v>20980</v>
      </c>
      <c r="F8" s="1">
        <v>22647</v>
      </c>
      <c r="G8" s="1">
        <f>SUM(UDISE_2022_23_Table_10_1_04[[#This Row],[Projected Population by Age Group - Overall - Age 3 to 5 - Total]:[Projected Population by Age Group - Overall - Age 16 to 17 - Total]])</f>
        <v>271791</v>
      </c>
      <c r="H8" s="1" t="str" cm="1">
        <f t="array" ref="H8">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9" spans="1:8" x14ac:dyDescent="0.35">
      <c r="A9" s="1" t="s">
        <v>33</v>
      </c>
      <c r="B9" s="1" t="s">
        <v>34</v>
      </c>
      <c r="C9" s="1">
        <v>1030200</v>
      </c>
      <c r="D9" s="1">
        <v>2242000</v>
      </c>
      <c r="E9" s="1">
        <v>547600</v>
      </c>
      <c r="F9" s="1">
        <v>551600</v>
      </c>
      <c r="G9" s="1">
        <f>SUM(UDISE_2022_23_Table_10_1_04[[#This Row],[Projected Population by Age Group - Overall - Age 3 to 5 - Total]:[Projected Population by Age Group - Overall - Age 16 to 17 - Total]])</f>
        <v>8543467</v>
      </c>
      <c r="H9" s="1" t="str" cm="1">
        <f t="array" ref="H9">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10" spans="1:8" x14ac:dyDescent="0.35">
      <c r="A10" s="1" t="s">
        <v>35</v>
      </c>
      <c r="B10" s="1" t="s">
        <v>36</v>
      </c>
      <c r="C10" s="1">
        <v>21574</v>
      </c>
      <c r="D10" s="1">
        <v>47367</v>
      </c>
      <c r="E10" s="1">
        <v>11671</v>
      </c>
      <c r="F10" s="1">
        <v>13453</v>
      </c>
      <c r="G10" s="1">
        <f>SUM(UDISE_2022_23_Table_10_1_04[[#This Row],[Projected Population by Age Group - Overall - Age 3 to 5 - Total]:[Projected Population by Age Group - Overall - Age 16 to 17 - Total]])</f>
        <v>172964</v>
      </c>
      <c r="H10" s="1" t="str" cm="1">
        <f t="array" ref="H10">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11" spans="1:8" x14ac:dyDescent="0.35">
      <c r="A11" s="1" t="s">
        <v>37</v>
      </c>
      <c r="B11" s="1" t="s">
        <v>38</v>
      </c>
      <c r="C11" s="1">
        <v>676057</v>
      </c>
      <c r="D11" s="1">
        <v>1438951</v>
      </c>
      <c r="E11" s="1">
        <v>370876</v>
      </c>
      <c r="F11" s="1">
        <v>394493</v>
      </c>
      <c r="G11" s="1">
        <f>SUM(UDISE_2022_23_Table_10_1_04[[#This Row],[Projected Population by Age Group - Overall - Age 3 to 5 - Total]:[Projected Population by Age Group - Overall - Age 16 to 17 - Total]])</f>
        <v>5306108</v>
      </c>
      <c r="H11" s="1" t="str" cm="1">
        <f t="array" ref="H11">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12" spans="1:8" x14ac:dyDescent="0.35">
      <c r="A12" s="1" t="s">
        <v>39</v>
      </c>
      <c r="B12" s="1" t="s">
        <v>40</v>
      </c>
      <c r="C12" s="1">
        <v>38037</v>
      </c>
      <c r="D12" s="1">
        <v>82835</v>
      </c>
      <c r="E12" s="1">
        <v>22485</v>
      </c>
      <c r="F12" s="1">
        <v>22445</v>
      </c>
      <c r="G12" s="1">
        <f>SUM(UDISE_2022_23_Table_10_1_04[[#This Row],[Projected Population by Age Group - Overall - Age 3 to 5 - Total]:[Projected Population by Age Group - Overall - Age 16 to 17 - Total]])</f>
        <v>320012</v>
      </c>
      <c r="H12" s="1" t="str" cm="1">
        <f t="array" ref="H12">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13" spans="1:8" x14ac:dyDescent="0.35">
      <c r="A13" s="1" t="s">
        <v>41</v>
      </c>
      <c r="B13" s="1" t="s">
        <v>42</v>
      </c>
      <c r="C13" s="1">
        <v>2396321</v>
      </c>
      <c r="D13" s="1">
        <v>4840859</v>
      </c>
      <c r="E13" s="1">
        <v>1190705</v>
      </c>
      <c r="F13" s="1">
        <v>1218784</v>
      </c>
      <c r="G13" s="1">
        <f>SUM(UDISE_2022_23_Table_10_1_04[[#This Row],[Projected Population by Age Group - Overall - Age 3 to 5 - Total]:[Projected Population by Age Group - Overall - Age 16 to 17 - Total]])</f>
        <v>17905919</v>
      </c>
      <c r="H13" s="1" t="str" cm="1">
        <f t="array" ref="H13">_xlfn.IFS(UDISE_2022_23_Table_10_1_05[[#This Row],[Overall - Boys - Population]]&gt;10273899.83,"Above- Average",UDISE_2022_23_Table_10_1_05[[#This Row],[Overall - Boys - Population]]&lt;10273899.83,"Below - Average",UDISE_2022_23_Table_10_1_05[[#This Row],[Overall - Boys - Population]]=10273899.83,"Average")</f>
        <v>Above- Average</v>
      </c>
    </row>
    <row r="14" spans="1:8" x14ac:dyDescent="0.35">
      <c r="A14" s="1" t="s">
        <v>43</v>
      </c>
      <c r="B14" s="1" t="s">
        <v>44</v>
      </c>
      <c r="C14" s="1">
        <v>1032800</v>
      </c>
      <c r="D14" s="1">
        <v>2159600</v>
      </c>
      <c r="E14" s="1">
        <v>541200</v>
      </c>
      <c r="F14" s="1">
        <v>554000</v>
      </c>
      <c r="G14" s="1">
        <f>SUM(UDISE_2022_23_Table_10_1_04[[#This Row],[Projected Population by Age Group - Overall - Age 3 to 5 - Total]:[Projected Population by Age Group - Overall - Age 16 to 17 - Total]])</f>
        <v>7866200</v>
      </c>
      <c r="H14" s="1" t="str" cm="1">
        <f t="array" ref="H14">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15" spans="1:8" x14ac:dyDescent="0.35">
      <c r="A15" s="1" t="s">
        <v>45</v>
      </c>
      <c r="B15" s="1" t="s">
        <v>46</v>
      </c>
      <c r="C15" s="1">
        <v>177800</v>
      </c>
      <c r="D15" s="1">
        <v>436400</v>
      </c>
      <c r="E15" s="1">
        <v>120000</v>
      </c>
      <c r="F15" s="1">
        <v>123400</v>
      </c>
      <c r="G15" s="1">
        <f>SUM(UDISE_2022_23_Table_10_1_04[[#This Row],[Projected Population by Age Group - Overall - Age 3 to 5 - Total]:[Projected Population by Age Group - Overall - Age 16 to 17 - Total]])</f>
        <v>1627867</v>
      </c>
      <c r="H15" s="1" t="str" cm="1">
        <f t="array" ref="H15">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16" spans="1:8" x14ac:dyDescent="0.35">
      <c r="A16" s="1" t="s">
        <v>47</v>
      </c>
      <c r="B16" s="1" t="s">
        <v>48</v>
      </c>
      <c r="C16" s="1">
        <v>318400</v>
      </c>
      <c r="D16" s="1">
        <v>933200</v>
      </c>
      <c r="E16" s="1">
        <v>293400</v>
      </c>
      <c r="F16" s="1">
        <v>298200</v>
      </c>
      <c r="G16" s="1">
        <f>SUM(UDISE_2022_23_Table_10_1_04[[#This Row],[Projected Population by Age Group - Overall - Age 3 to 5 - Total]:[Projected Population by Age Group - Overall - Age 16 to 17 - Total]])</f>
        <v>3488533</v>
      </c>
      <c r="H16" s="1" t="str" cm="1">
        <f t="array" ref="H16">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17" spans="1:8" x14ac:dyDescent="0.35">
      <c r="A17" s="1" t="s">
        <v>49</v>
      </c>
      <c r="B17" s="1" t="s">
        <v>50</v>
      </c>
      <c r="C17" s="1">
        <v>1513400</v>
      </c>
      <c r="D17" s="1">
        <v>3069600</v>
      </c>
      <c r="E17" s="1">
        <v>798200</v>
      </c>
      <c r="F17" s="1">
        <v>807600</v>
      </c>
      <c r="G17" s="1">
        <f>SUM(UDISE_2022_23_Table_10_1_04[[#This Row],[Projected Population by Age Group - Overall - Age 3 to 5 - Total]:[Projected Population by Age Group - Overall - Age 16 to 17 - Total]])</f>
        <v>11976400</v>
      </c>
      <c r="H17" s="1" t="str" cm="1">
        <f t="array" ref="H17">_xlfn.IFS(UDISE_2022_23_Table_10_1_05[[#This Row],[Overall - Boys - Population]]&gt;10273899.83,"Above- Average",UDISE_2022_23_Table_10_1_05[[#This Row],[Overall - Boys - Population]]&lt;10273899.83,"Below - Average",UDISE_2022_23_Table_10_1_05[[#This Row],[Overall - Boys - Population]]=10273899.83,"Average")</f>
        <v>Above- Average</v>
      </c>
    </row>
    <row r="18" spans="1:8" x14ac:dyDescent="0.35">
      <c r="A18" s="1" t="s">
        <v>51</v>
      </c>
      <c r="B18" s="1" t="s">
        <v>52</v>
      </c>
      <c r="C18" s="1">
        <v>1905600</v>
      </c>
      <c r="D18" s="1">
        <v>4139600</v>
      </c>
      <c r="E18" s="1">
        <v>1052800</v>
      </c>
      <c r="F18" s="1">
        <v>1075600</v>
      </c>
      <c r="G18" s="1">
        <f>SUM(UDISE_2022_23_Table_10_1_04[[#This Row],[Projected Population by Age Group - Overall - Age 3 to 5 - Total]:[Projected Population by Age Group - Overall - Age 16 to 17 - Total]])</f>
        <v>15763400</v>
      </c>
      <c r="H18" s="1" t="str" cm="1">
        <f t="array" ref="H18">_xlfn.IFS(UDISE_2022_23_Table_10_1_05[[#This Row],[Overall - Boys - Population]]&gt;10273899.83,"Above- Average",UDISE_2022_23_Table_10_1_05[[#This Row],[Overall - Boys - Population]]&lt;10273899.83,"Below - Average",UDISE_2022_23_Table_10_1_05[[#This Row],[Overall - Boys - Population]]=10273899.83,"Average")</f>
        <v>Above- Average</v>
      </c>
    </row>
    <row r="19" spans="1:8" x14ac:dyDescent="0.35">
      <c r="A19" s="1" t="s">
        <v>53</v>
      </c>
      <c r="B19" s="1" t="s">
        <v>54</v>
      </c>
      <c r="C19" s="1">
        <v>939800</v>
      </c>
      <c r="D19" s="1">
        <v>1982000</v>
      </c>
      <c r="E19" s="1">
        <v>514800</v>
      </c>
      <c r="F19" s="1">
        <v>518000</v>
      </c>
      <c r="G19" s="1">
        <f>SUM(UDISE_2022_23_Table_10_1_04[[#This Row],[Projected Population by Age Group - Overall - Age 3 to 5 - Total]:[Projected Population by Age Group - Overall - Age 16 to 17 - Total]])</f>
        <v>7744000</v>
      </c>
      <c r="H19" s="1" t="str" cm="1">
        <f t="array" ref="H19">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20" spans="1:8" x14ac:dyDescent="0.35">
      <c r="A20" s="1" t="s">
        <v>55</v>
      </c>
      <c r="B20" s="1" t="s">
        <v>56</v>
      </c>
      <c r="C20" s="1">
        <v>8299</v>
      </c>
      <c r="D20" s="1">
        <v>17534</v>
      </c>
      <c r="E20" s="1">
        <v>4937</v>
      </c>
      <c r="F20" s="1">
        <v>4634</v>
      </c>
      <c r="G20" s="1">
        <f>SUM(UDISE_2022_23_Table_10_1_04[[#This Row],[Projected Population by Age Group - Overall - Age 3 to 5 - Total]:[Projected Population by Age Group - Overall - Age 16 to 17 - Total]])</f>
        <v>69316</v>
      </c>
      <c r="H20" s="1" t="str" cm="1">
        <f t="array" ref="H20">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21" spans="1:8" x14ac:dyDescent="0.35">
      <c r="A21" s="1" t="s">
        <v>57</v>
      </c>
      <c r="B21" s="1" t="s">
        <v>58</v>
      </c>
      <c r="C21" s="1">
        <v>1755</v>
      </c>
      <c r="D21" s="1">
        <v>4353</v>
      </c>
      <c r="E21" s="1">
        <v>1182</v>
      </c>
      <c r="F21" s="1">
        <v>1150</v>
      </c>
      <c r="G21" s="1">
        <f>SUM(UDISE_2022_23_Table_10_1_04[[#This Row],[Projected Population by Age Group - Overall - Age 3 to 5 - Total]:[Projected Population by Age Group - Overall - Age 16 to 17 - Total]])</f>
        <v>16847</v>
      </c>
      <c r="H21" s="1" t="str" cm="1">
        <f t="array" ref="H21">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22" spans="1:8" x14ac:dyDescent="0.35">
      <c r="A22" s="1" t="s">
        <v>59</v>
      </c>
      <c r="B22" s="1" t="s">
        <v>60</v>
      </c>
      <c r="C22" s="1">
        <v>3304620</v>
      </c>
      <c r="D22" s="1">
        <v>7091287</v>
      </c>
      <c r="E22" s="1">
        <v>1696947</v>
      </c>
      <c r="F22" s="1">
        <v>1710431</v>
      </c>
      <c r="G22" s="1">
        <f>SUM(UDISE_2022_23_Table_10_1_04[[#This Row],[Projected Population by Age Group - Overall - Age 3 to 5 - Total]:[Projected Population by Age Group - Overall - Age 16 to 17 - Total]])</f>
        <v>25718701</v>
      </c>
      <c r="H22" s="1" t="str" cm="1">
        <f t="array" ref="H22">_xlfn.IFS(UDISE_2022_23_Table_10_1_05[[#This Row],[Overall - Boys - Population]]&gt;10273899.83,"Above- Average",UDISE_2022_23_Table_10_1_05[[#This Row],[Overall - Boys - Population]]&lt;10273899.83,"Below - Average",UDISE_2022_23_Table_10_1_05[[#This Row],[Overall - Boys - Population]]=10273899.83,"Average")</f>
        <v>Above- Average</v>
      </c>
    </row>
    <row r="23" spans="1:8" x14ac:dyDescent="0.35">
      <c r="A23" s="1" t="s">
        <v>61</v>
      </c>
      <c r="B23" s="1" t="s">
        <v>62</v>
      </c>
      <c r="C23" s="1">
        <v>3279267</v>
      </c>
      <c r="D23" s="1">
        <v>7797000</v>
      </c>
      <c r="E23" s="1">
        <v>2088200</v>
      </c>
      <c r="F23" s="1">
        <v>2139000</v>
      </c>
      <c r="G23" s="1">
        <f>SUM(UDISE_2022_23_Table_10_1_04[[#This Row],[Projected Population by Age Group - Overall - Age 3 to 5 - Total]:[Projected Population by Age Group - Overall - Age 16 to 17 - Total]])</f>
        <v>28739800</v>
      </c>
      <c r="H23" s="1" t="str" cm="1">
        <f t="array" ref="H23">_xlfn.IFS(UDISE_2022_23_Table_10_1_05[[#This Row],[Overall - Boys - Population]]&gt;10273899.83,"Above- Average",UDISE_2022_23_Table_10_1_05[[#This Row],[Overall - Boys - Population]]&lt;10273899.83,"Below - Average",UDISE_2022_23_Table_10_1_05[[#This Row],[Overall - Boys - Population]]=10273899.83,"Average")</f>
        <v>Above- Average</v>
      </c>
    </row>
    <row r="24" spans="1:8" x14ac:dyDescent="0.35">
      <c r="A24" s="1" t="s">
        <v>63</v>
      </c>
      <c r="B24" s="1" t="s">
        <v>64</v>
      </c>
      <c r="C24" s="1">
        <v>77158</v>
      </c>
      <c r="D24" s="1">
        <v>197099</v>
      </c>
      <c r="E24" s="1">
        <v>59265</v>
      </c>
      <c r="F24" s="1">
        <v>57197</v>
      </c>
      <c r="G24" s="1">
        <f>SUM(UDISE_2022_23_Table_10_1_04[[#This Row],[Projected Population by Age Group - Overall - Age 3 to 5 - Total]:[Projected Population by Age Group - Overall - Age 16 to 17 - Total]])</f>
        <v>756227</v>
      </c>
      <c r="H24" s="1" t="str" cm="1">
        <f t="array" ref="H24">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25" spans="1:8" x14ac:dyDescent="0.35">
      <c r="A25" s="1" t="s">
        <v>65</v>
      </c>
      <c r="B25" s="1" t="s">
        <v>66</v>
      </c>
      <c r="C25" s="1">
        <v>112182</v>
      </c>
      <c r="D25" s="1">
        <v>246876</v>
      </c>
      <c r="E25" s="1">
        <v>67744</v>
      </c>
      <c r="F25" s="1">
        <v>69503</v>
      </c>
      <c r="G25" s="1">
        <f>SUM(UDISE_2022_23_Table_10_1_04[[#This Row],[Projected Population by Age Group - Overall - Age 3 to 5 - Total]:[Projected Population by Age Group - Overall - Age 16 to 17 - Total]])</f>
        <v>970841</v>
      </c>
      <c r="H25" s="1" t="str" cm="1">
        <f t="array" ref="H25">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26" spans="1:8" x14ac:dyDescent="0.35">
      <c r="A26" s="1" t="s">
        <v>67</v>
      </c>
      <c r="B26" s="1" t="s">
        <v>68</v>
      </c>
      <c r="C26" s="1">
        <v>32439</v>
      </c>
      <c r="D26" s="1">
        <v>75647</v>
      </c>
      <c r="E26" s="1">
        <v>21542</v>
      </c>
      <c r="F26" s="1">
        <v>23317</v>
      </c>
      <c r="G26" s="1">
        <f>SUM(UDISE_2022_23_Table_10_1_04[[#This Row],[Projected Population by Age Group - Overall - Age 3 to 5 - Total]:[Projected Population by Age Group - Overall - Age 16 to 17 - Total]])</f>
        <v>297936</v>
      </c>
      <c r="H26" s="1" t="str" cm="1">
        <f t="array" ref="H26">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27" spans="1:8" x14ac:dyDescent="0.35">
      <c r="A27" s="1" t="s">
        <v>69</v>
      </c>
      <c r="B27" s="1" t="s">
        <v>70</v>
      </c>
      <c r="C27" s="1">
        <v>60663</v>
      </c>
      <c r="D27" s="1">
        <v>159298</v>
      </c>
      <c r="E27" s="1">
        <v>47744</v>
      </c>
      <c r="F27" s="1">
        <v>48490</v>
      </c>
      <c r="G27" s="1">
        <f>SUM(UDISE_2022_23_Table_10_1_04[[#This Row],[Projected Population by Age Group - Overall - Age 3 to 5 - Total]:[Projected Population by Age Group - Overall - Age 16 to 17 - Total]])</f>
        <v>606564</v>
      </c>
      <c r="H27" s="1" t="str" cm="1">
        <f t="array" ref="H27">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28" spans="1:8" x14ac:dyDescent="0.35">
      <c r="A28" s="1" t="s">
        <v>71</v>
      </c>
      <c r="B28" s="1" t="s">
        <v>72</v>
      </c>
      <c r="C28" s="1">
        <v>1296600</v>
      </c>
      <c r="D28" s="1">
        <v>2984000</v>
      </c>
      <c r="E28" s="1">
        <v>784600</v>
      </c>
      <c r="F28" s="1">
        <v>800400</v>
      </c>
      <c r="G28" s="1">
        <f>SUM(UDISE_2022_23_Table_10_1_04[[#This Row],[Projected Population by Age Group - Overall - Age 3 to 5 - Total]:[Projected Population by Age Group - Overall - Age 16 to 17 - Total]])</f>
        <v>11416133</v>
      </c>
      <c r="H28" s="1" t="str" cm="1">
        <f t="array" ref="H28">_xlfn.IFS(UDISE_2022_23_Table_10_1_05[[#This Row],[Overall - Boys - Population]]&gt;10273899.83,"Above- Average",UDISE_2022_23_Table_10_1_05[[#This Row],[Overall - Boys - Population]]&lt;10273899.83,"Below - Average",UDISE_2022_23_Table_10_1_05[[#This Row],[Overall - Boys - Population]]=10273899.83,"Average")</f>
        <v>Above- Average</v>
      </c>
    </row>
    <row r="29" spans="1:8" x14ac:dyDescent="0.35">
      <c r="A29" s="1" t="s">
        <v>73</v>
      </c>
      <c r="B29" s="1" t="s">
        <v>74</v>
      </c>
      <c r="C29" s="1">
        <v>33606</v>
      </c>
      <c r="D29" s="1">
        <v>75003</v>
      </c>
      <c r="E29" s="1">
        <v>20990</v>
      </c>
      <c r="F29" s="1">
        <v>20415</v>
      </c>
      <c r="G29" s="1">
        <f>SUM(UDISE_2022_23_Table_10_1_04[[#This Row],[Projected Population by Age Group - Overall - Age 3 to 5 - Total]:[Projected Population by Age Group - Overall - Age 16 to 17 - Total]])</f>
        <v>290092</v>
      </c>
      <c r="H29" s="1" t="str" cm="1">
        <f t="array" ref="H29">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30" spans="1:8" x14ac:dyDescent="0.35">
      <c r="A30" s="1" t="s">
        <v>75</v>
      </c>
      <c r="B30" s="1" t="s">
        <v>76</v>
      </c>
      <c r="C30" s="1">
        <v>757533</v>
      </c>
      <c r="D30" s="1">
        <v>1804600</v>
      </c>
      <c r="E30" s="1">
        <v>492400</v>
      </c>
      <c r="F30" s="1">
        <v>515000</v>
      </c>
      <c r="G30" s="1">
        <f>SUM(UDISE_2022_23_Table_10_1_04[[#This Row],[Projected Population by Age Group - Overall - Age 3 to 5 - Total]:[Projected Population by Age Group - Overall - Age 16 to 17 - Total]])</f>
        <v>6612933</v>
      </c>
      <c r="H30" s="1" t="str" cm="1">
        <f t="array" ref="H30">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31" spans="1:8" x14ac:dyDescent="0.35">
      <c r="A31" s="1" t="s">
        <v>77</v>
      </c>
      <c r="B31" s="1" t="s">
        <v>78</v>
      </c>
      <c r="C31" s="1">
        <v>3218400</v>
      </c>
      <c r="D31" s="1">
        <v>6593800</v>
      </c>
      <c r="E31" s="1">
        <v>1588600</v>
      </c>
      <c r="F31" s="1">
        <v>1606200</v>
      </c>
      <c r="G31" s="1">
        <f>SUM(UDISE_2022_23_Table_10_1_04[[#This Row],[Projected Population by Age Group - Overall - Age 3 to 5 - Total]:[Projected Population by Age Group - Overall - Age 16 to 17 - Total]])</f>
        <v>24532800</v>
      </c>
      <c r="H31" s="1" t="str" cm="1">
        <f t="array" ref="H31">_xlfn.IFS(UDISE_2022_23_Table_10_1_05[[#This Row],[Overall - Boys - Population]]&gt;10273899.83,"Above- Average",UDISE_2022_23_Table_10_1_05[[#This Row],[Overall - Boys - Population]]&lt;10273899.83,"Below - Average",UDISE_2022_23_Table_10_1_05[[#This Row],[Overall - Boys - Population]]=10273899.83,"Average")</f>
        <v>Above- Average</v>
      </c>
    </row>
    <row r="32" spans="1:8" x14ac:dyDescent="0.35">
      <c r="A32" s="1" t="s">
        <v>79</v>
      </c>
      <c r="B32" s="1" t="s">
        <v>80</v>
      </c>
      <c r="C32" s="1">
        <v>13422</v>
      </c>
      <c r="D32" s="1">
        <v>40160</v>
      </c>
      <c r="E32" s="1">
        <v>12733</v>
      </c>
      <c r="F32" s="1">
        <v>14012</v>
      </c>
      <c r="G32" s="1">
        <f>SUM(UDISE_2022_23_Table_10_1_04[[#This Row],[Projected Population by Age Group - Overall - Age 3 to 5 - Total]:[Projected Population by Age Group - Overall - Age 16 to 17 - Total]])</f>
        <v>157033</v>
      </c>
      <c r="H32" s="1" t="str" cm="1">
        <f t="array" ref="H32">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33" spans="1:8" x14ac:dyDescent="0.35">
      <c r="A33" s="1" t="s">
        <v>81</v>
      </c>
      <c r="B33" s="1" t="s">
        <v>82</v>
      </c>
      <c r="C33" s="1">
        <v>1935800</v>
      </c>
      <c r="D33" s="1">
        <v>4279000</v>
      </c>
      <c r="E33" s="1">
        <v>1099600</v>
      </c>
      <c r="F33" s="1">
        <v>1120800</v>
      </c>
      <c r="G33" s="1">
        <f>SUM(UDISE_2022_23_Table_10_1_04[[#This Row],[Projected Population by Age Group - Overall - Age 3 to 5 - Total]:[Projected Population by Age Group - Overall - Age 16 to 17 - Total]])</f>
        <v>16237200</v>
      </c>
      <c r="H33" s="1" t="str" cm="1">
        <f t="array" ref="H33">_xlfn.IFS(UDISE_2022_23_Table_10_1_05[[#This Row],[Overall - Boys - Population]]&gt;10273899.83,"Above- Average",UDISE_2022_23_Table_10_1_05[[#This Row],[Overall - Boys - Population]]&lt;10273899.83,"Below - Average",UDISE_2022_23_Table_10_1_05[[#This Row],[Overall - Boys - Population]]=10273899.83,"Average")</f>
        <v>Above- Average</v>
      </c>
    </row>
    <row r="34" spans="1:8" x14ac:dyDescent="0.35">
      <c r="A34" s="1" t="s">
        <v>83</v>
      </c>
      <c r="B34" s="1" t="s">
        <v>84</v>
      </c>
      <c r="C34" s="1">
        <v>1067800</v>
      </c>
      <c r="D34" s="1">
        <v>2261000</v>
      </c>
      <c r="E34" s="1">
        <v>590800</v>
      </c>
      <c r="F34" s="1">
        <v>614800</v>
      </c>
      <c r="G34" s="1">
        <f>SUM(UDISE_2022_23_Table_10_1_04[[#This Row],[Projected Population by Age Group - Overall - Age 3 to 5 - Total]:[Projected Population by Age Group - Overall - Age 16 to 17 - Total]])</f>
        <v>8694400</v>
      </c>
      <c r="H34" s="1" t="str" cm="1">
        <f t="array" ref="H34">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35" spans="1:8" x14ac:dyDescent="0.35">
      <c r="A35" s="1" t="s">
        <v>85</v>
      </c>
      <c r="B35" s="1" t="s">
        <v>86</v>
      </c>
      <c r="C35" s="1">
        <v>96591</v>
      </c>
      <c r="D35" s="1">
        <v>225349</v>
      </c>
      <c r="E35" s="1">
        <v>67670</v>
      </c>
      <c r="F35" s="1">
        <v>75516</v>
      </c>
      <c r="G35" s="1">
        <f>SUM(UDISE_2022_23_Table_10_1_04[[#This Row],[Projected Population by Age Group - Overall - Age 3 to 5 - Total]:[Projected Population by Age Group - Overall - Age 16 to 17 - Total]])</f>
        <v>899784</v>
      </c>
      <c r="H35" s="1" t="str" cm="1">
        <f t="array" ref="H35">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36" spans="1:8" x14ac:dyDescent="0.35">
      <c r="A36" s="1" t="s">
        <v>87</v>
      </c>
      <c r="B36" s="1" t="s">
        <v>88</v>
      </c>
      <c r="C36" s="1">
        <v>9263831</v>
      </c>
      <c r="D36" s="1">
        <v>19859910</v>
      </c>
      <c r="E36" s="1">
        <v>4807747</v>
      </c>
      <c r="F36" s="1">
        <v>4930965</v>
      </c>
      <c r="G36" s="1">
        <f>SUM(UDISE_2022_23_Table_10_1_04[[#This Row],[Projected Population by Age Group - Overall - Age 3 to 5 - Total]:[Projected Population by Age Group - Overall - Age 16 to 17 - Total]])</f>
        <v>72355460</v>
      </c>
      <c r="H36" s="1" t="str" cm="1">
        <f t="array" ref="H36">_xlfn.IFS(UDISE_2022_23_Table_10_1_05[[#This Row],[Overall - Boys - Population]]&gt;10273899.83,"Above- Average",UDISE_2022_23_Table_10_1_05[[#This Row],[Overall - Boys - Population]]&lt;10273899.83,"Below - Average",UDISE_2022_23_Table_10_1_05[[#This Row],[Overall - Boys - Population]]=10273899.83,"Average")</f>
        <v>Above- Average</v>
      </c>
    </row>
    <row r="37" spans="1:8" x14ac:dyDescent="0.35">
      <c r="A37" s="1" t="s">
        <v>89</v>
      </c>
      <c r="B37" s="1" t="s">
        <v>90</v>
      </c>
      <c r="C37" s="1">
        <v>370200</v>
      </c>
      <c r="D37" s="1">
        <v>774400</v>
      </c>
      <c r="E37" s="1">
        <v>208600</v>
      </c>
      <c r="F37" s="1">
        <v>216800</v>
      </c>
      <c r="G37" s="1">
        <f>SUM(UDISE_2022_23_Table_10_1_04[[#This Row],[Projected Population by Age Group - Overall - Age 3 to 5 - Total]:[Projected Population by Age Group - Overall - Age 16 to 17 - Total]])</f>
        <v>2917200</v>
      </c>
      <c r="H37" s="1" t="str" cm="1">
        <f t="array" ref="H37">_xlfn.IFS(UDISE_2022_23_Table_10_1_05[[#This Row],[Overall - Boys - Population]]&gt;10273899.83,"Above- Average",UDISE_2022_23_Table_10_1_05[[#This Row],[Overall - Boys - Population]]&lt;10273899.83,"Below - Average",UDISE_2022_23_Table_10_1_05[[#This Row],[Overall - Boys - Population]]=10273899.83,"Average")</f>
        <v>Below - Average</v>
      </c>
    </row>
    <row r="38" spans="1:8" x14ac:dyDescent="0.35">
      <c r="A38" s="1" t="s">
        <v>91</v>
      </c>
      <c r="B38" s="1" t="s">
        <v>92</v>
      </c>
      <c r="C38" s="1">
        <v>2398533</v>
      </c>
      <c r="D38" s="1">
        <v>5751600</v>
      </c>
      <c r="E38" s="1">
        <v>1568200</v>
      </c>
      <c r="F38" s="1">
        <v>1625000</v>
      </c>
      <c r="G38" s="1">
        <f>SUM(UDISE_2022_23_Table_10_1_04[[#This Row],[Projected Population by Age Group - Overall - Age 3 to 5 - Total]:[Projected Population by Age Group - Overall - Age 16 to 17 - Total]])</f>
        <v>22135800</v>
      </c>
      <c r="H38" s="1" t="str" cm="1">
        <f t="array" ref="H38">_xlfn.IFS(UDISE_2022_23_Table_10_1_05[[#This Row],[Overall - Boys - Population]]&gt;10273899.83,"Above- Average",UDISE_2022_23_Table_10_1_05[[#This Row],[Overall - Boys - Population]]&lt;10273899.83,"Below - Average",UDISE_2022_23_Table_10_1_05[[#This Row],[Overall - Boys - Population]]=10273899.83,"Average")</f>
        <v>Above- Average</v>
      </c>
    </row>
    <row r="40" spans="1:8" x14ac:dyDescent="0.35">
      <c r="F40" s="4" t="s">
        <v>103</v>
      </c>
      <c r="G40" s="1">
        <f>AVERAGE(G3:G38)</f>
        <v>10273899.833333334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A243F-459B-47DE-8AFF-BACF700A9256}">
  <dimension ref="A1:B41"/>
  <sheetViews>
    <sheetView workbookViewId="0">
      <selection activeCell="M13" sqref="M13"/>
    </sheetView>
  </sheetViews>
  <sheetFormatPr defaultRowHeight="14.5" x14ac:dyDescent="0.35"/>
  <cols>
    <col min="1" max="1" width="38.08984375" bestFit="1" customWidth="1"/>
    <col min="2" max="2" width="29.6328125" bestFit="1" customWidth="1"/>
    <col min="3" max="4" width="5.81640625" bestFit="1" customWidth="1"/>
    <col min="5" max="15" width="6.81640625" bestFit="1" customWidth="1"/>
    <col min="16" max="25" width="7.81640625" bestFit="1" customWidth="1"/>
    <col min="26" max="37" width="8.81640625" bestFit="1" customWidth="1"/>
    <col min="38" max="38" width="9.81640625" bestFit="1" customWidth="1"/>
    <col min="39" max="39" width="10.7265625" bestFit="1" customWidth="1"/>
    <col min="40" max="40" width="8.6328125" bestFit="1" customWidth="1"/>
    <col min="41" max="41" width="11.54296875" bestFit="1" customWidth="1"/>
    <col min="42" max="42" width="8.6328125" bestFit="1" customWidth="1"/>
    <col min="43" max="43" width="11.54296875" bestFit="1" customWidth="1"/>
    <col min="44" max="44" width="8.6328125" bestFit="1" customWidth="1"/>
    <col min="45" max="45" width="11.54296875" bestFit="1" customWidth="1"/>
    <col min="46" max="46" width="8.6328125" bestFit="1" customWidth="1"/>
    <col min="47" max="47" width="11.54296875" bestFit="1" customWidth="1"/>
    <col min="48" max="48" width="8.6328125" bestFit="1" customWidth="1"/>
    <col min="49" max="49" width="11.54296875" bestFit="1" customWidth="1"/>
    <col min="50" max="50" width="8.81640625" bestFit="1" customWidth="1"/>
    <col min="51" max="51" width="11.54296875" bestFit="1" customWidth="1"/>
    <col min="52" max="52" width="8.81640625" bestFit="1" customWidth="1"/>
    <col min="53" max="53" width="11.54296875" bestFit="1" customWidth="1"/>
    <col min="54" max="54" width="8.81640625" bestFit="1" customWidth="1"/>
    <col min="55" max="55" width="11.54296875" bestFit="1" customWidth="1"/>
    <col min="56" max="56" width="9.6328125" bestFit="1" customWidth="1"/>
    <col min="57" max="57" width="12.54296875" bestFit="1" customWidth="1"/>
    <col min="58" max="58" width="9.6328125" bestFit="1" customWidth="1"/>
    <col min="59" max="59" width="12.54296875" bestFit="1" customWidth="1"/>
    <col min="60" max="60" width="9.6328125" bestFit="1" customWidth="1"/>
    <col min="61" max="61" width="12.54296875" bestFit="1" customWidth="1"/>
    <col min="62" max="62" width="9.6328125" bestFit="1" customWidth="1"/>
    <col min="63" max="63" width="12.54296875" bestFit="1" customWidth="1"/>
    <col min="64" max="64" width="9.6328125" bestFit="1" customWidth="1"/>
    <col min="65" max="65" width="12.54296875" bestFit="1" customWidth="1"/>
    <col min="66" max="66" width="9.6328125" bestFit="1" customWidth="1"/>
    <col min="67" max="67" width="12.54296875" bestFit="1" customWidth="1"/>
    <col min="68" max="68" width="9.6328125" bestFit="1" customWidth="1"/>
    <col min="69" max="69" width="12.54296875" bestFit="1" customWidth="1"/>
    <col min="70" max="70" width="9.6328125" bestFit="1" customWidth="1"/>
    <col min="71" max="71" width="12.54296875" bestFit="1" customWidth="1"/>
    <col min="72" max="72" width="9.6328125" bestFit="1" customWidth="1"/>
    <col min="73" max="73" width="12.54296875" bestFit="1" customWidth="1"/>
    <col min="74" max="74" width="10.6328125" bestFit="1" customWidth="1"/>
    <col min="75" max="75" width="13.6328125" bestFit="1" customWidth="1"/>
    <col min="76" max="76" width="10.7265625" bestFit="1" customWidth="1"/>
    <col min="77" max="77" width="9.6328125" bestFit="1" customWidth="1"/>
    <col min="78" max="78" width="11.54296875" bestFit="1" customWidth="1"/>
    <col min="79" max="79" width="12.54296875" bestFit="1" customWidth="1"/>
    <col min="80" max="80" width="9.6328125" bestFit="1" customWidth="1"/>
    <col min="81" max="81" width="11.54296875" bestFit="1" customWidth="1"/>
    <col min="82" max="82" width="12.54296875" bestFit="1" customWidth="1"/>
    <col min="83" max="83" width="9.6328125" bestFit="1" customWidth="1"/>
    <col min="84" max="85" width="12.54296875" bestFit="1" customWidth="1"/>
    <col min="86" max="86" width="9.6328125" bestFit="1" customWidth="1"/>
    <col min="87" max="88" width="12.54296875" bestFit="1" customWidth="1"/>
    <col min="89" max="89" width="9.6328125" bestFit="1" customWidth="1"/>
    <col min="90" max="91" width="12.54296875" bestFit="1" customWidth="1"/>
    <col min="92" max="92" width="9.6328125" bestFit="1" customWidth="1"/>
    <col min="93" max="94" width="12.54296875" bestFit="1" customWidth="1"/>
    <col min="95" max="95" width="9.6328125" bestFit="1" customWidth="1"/>
    <col min="96" max="97" width="12.54296875" bestFit="1" customWidth="1"/>
    <col min="98" max="98" width="9.6328125" bestFit="1" customWidth="1"/>
    <col min="99" max="100" width="12.54296875" bestFit="1" customWidth="1"/>
    <col min="101" max="101" width="9.6328125" bestFit="1" customWidth="1"/>
    <col min="102" max="103" width="12.54296875" bestFit="1" customWidth="1"/>
    <col min="104" max="104" width="10.6328125" bestFit="1" customWidth="1"/>
    <col min="105" max="105" width="12.54296875" bestFit="1" customWidth="1"/>
    <col min="106" max="106" width="13.6328125" bestFit="1" customWidth="1"/>
    <col min="107" max="107" width="10.6328125" bestFit="1" customWidth="1"/>
    <col min="108" max="108" width="12.54296875" bestFit="1" customWidth="1"/>
    <col min="109" max="109" width="13.6328125" bestFit="1" customWidth="1"/>
    <col min="110" max="110" width="10.6328125" bestFit="1" customWidth="1"/>
    <col min="111" max="112" width="13.6328125" bestFit="1" customWidth="1"/>
    <col min="113" max="113" width="10.7265625" bestFit="1" customWidth="1"/>
    <col min="114" max="114" width="9.6328125" bestFit="1" customWidth="1"/>
    <col min="115" max="117" width="12.54296875" bestFit="1" customWidth="1"/>
    <col min="118" max="118" width="9.6328125" bestFit="1" customWidth="1"/>
    <col min="119" max="121" width="12.54296875" bestFit="1" customWidth="1"/>
    <col min="122" max="122" width="9.6328125" bestFit="1" customWidth="1"/>
    <col min="123" max="125" width="12.54296875" bestFit="1" customWidth="1"/>
    <col min="126" max="126" width="9.6328125" bestFit="1" customWidth="1"/>
    <col min="127" max="129" width="12.54296875" bestFit="1" customWidth="1"/>
    <col min="130" max="130" width="9.6328125" bestFit="1" customWidth="1"/>
    <col min="131" max="133" width="12.54296875" bestFit="1" customWidth="1"/>
    <col min="134" max="134" width="9.6328125" bestFit="1" customWidth="1"/>
    <col min="135" max="137" width="12.54296875" bestFit="1" customWidth="1"/>
    <col min="138" max="138" width="10.6328125" bestFit="1" customWidth="1"/>
    <col min="139" max="139" width="12.54296875" bestFit="1" customWidth="1"/>
    <col min="140" max="140" width="13.6328125" bestFit="1" customWidth="1"/>
    <col min="141" max="141" width="12.54296875" bestFit="1" customWidth="1"/>
    <col min="142" max="142" width="10.6328125" bestFit="1" customWidth="1"/>
    <col min="143" max="143" width="12.54296875" bestFit="1" customWidth="1"/>
    <col min="144" max="144" width="13.6328125" bestFit="1" customWidth="1"/>
    <col min="145" max="145" width="12.54296875" bestFit="1" customWidth="1"/>
    <col min="146" max="146" width="10.6328125" bestFit="1" customWidth="1"/>
    <col min="147" max="149" width="13.6328125" bestFit="1" customWidth="1"/>
    <col min="150" max="150" width="10.7265625" bestFit="1" customWidth="1"/>
  </cols>
  <sheetData>
    <row r="1" spans="1:2" x14ac:dyDescent="0.35">
      <c r="A1" s="2" t="s">
        <v>99</v>
      </c>
      <c r="B1" t="s">
        <v>95</v>
      </c>
    </row>
    <row r="3" spans="1:2" x14ac:dyDescent="0.35">
      <c r="A3" s="2" t="s">
        <v>93</v>
      </c>
      <c r="B3" t="s">
        <v>106</v>
      </c>
    </row>
    <row r="4" spans="1:2" x14ac:dyDescent="0.35">
      <c r="A4" s="3" t="s">
        <v>22</v>
      </c>
      <c r="B4">
        <v>89501</v>
      </c>
    </row>
    <row r="5" spans="1:2" x14ac:dyDescent="0.35">
      <c r="A5" s="3" t="s">
        <v>24</v>
      </c>
      <c r="B5">
        <v>11591800</v>
      </c>
    </row>
    <row r="6" spans="1:2" x14ac:dyDescent="0.35">
      <c r="A6" s="3" t="s">
        <v>26</v>
      </c>
      <c r="B6">
        <v>433688</v>
      </c>
    </row>
    <row r="7" spans="1:2" x14ac:dyDescent="0.35">
      <c r="A7" s="3" t="s">
        <v>28</v>
      </c>
      <c r="B7">
        <v>9978200</v>
      </c>
    </row>
    <row r="8" spans="1:2" x14ac:dyDescent="0.35">
      <c r="A8" s="3" t="s">
        <v>30</v>
      </c>
      <c r="B8">
        <v>43355477</v>
      </c>
    </row>
    <row r="9" spans="1:2" x14ac:dyDescent="0.35">
      <c r="A9" s="3" t="s">
        <v>32</v>
      </c>
      <c r="B9">
        <v>271791</v>
      </c>
    </row>
    <row r="10" spans="1:2" x14ac:dyDescent="0.35">
      <c r="A10" s="3" t="s">
        <v>34</v>
      </c>
      <c r="B10">
        <v>8543467</v>
      </c>
    </row>
    <row r="11" spans="1:2" x14ac:dyDescent="0.35">
      <c r="A11" s="3" t="s">
        <v>36</v>
      </c>
      <c r="B11">
        <v>172964</v>
      </c>
    </row>
    <row r="12" spans="1:2" x14ac:dyDescent="0.35">
      <c r="A12" s="3" t="s">
        <v>38</v>
      </c>
      <c r="B12">
        <v>5306108</v>
      </c>
    </row>
    <row r="13" spans="1:2" x14ac:dyDescent="0.35">
      <c r="A13" s="3" t="s">
        <v>40</v>
      </c>
      <c r="B13">
        <v>320012</v>
      </c>
    </row>
    <row r="14" spans="1:2" x14ac:dyDescent="0.35">
      <c r="A14" s="3" t="s">
        <v>42</v>
      </c>
      <c r="B14">
        <v>17905919</v>
      </c>
    </row>
    <row r="15" spans="1:2" x14ac:dyDescent="0.35">
      <c r="A15" s="3" t="s">
        <v>44</v>
      </c>
      <c r="B15">
        <v>7866200</v>
      </c>
    </row>
    <row r="16" spans="1:2" x14ac:dyDescent="0.35">
      <c r="A16" s="3" t="s">
        <v>46</v>
      </c>
      <c r="B16">
        <v>1627867</v>
      </c>
    </row>
    <row r="17" spans="1:2" x14ac:dyDescent="0.35">
      <c r="A17" s="3" t="s">
        <v>20</v>
      </c>
      <c r="B17">
        <v>369860391</v>
      </c>
    </row>
    <row r="18" spans="1:2" x14ac:dyDescent="0.35">
      <c r="A18" s="3" t="s">
        <v>48</v>
      </c>
      <c r="B18">
        <v>3488533</v>
      </c>
    </row>
    <row r="19" spans="1:2" x14ac:dyDescent="0.35">
      <c r="A19" s="3" t="s">
        <v>50</v>
      </c>
      <c r="B19">
        <v>11976400</v>
      </c>
    </row>
    <row r="20" spans="1:2" x14ac:dyDescent="0.35">
      <c r="A20" s="3" t="s">
        <v>52</v>
      </c>
      <c r="B20">
        <v>15763400</v>
      </c>
    </row>
    <row r="21" spans="1:2" x14ac:dyDescent="0.35">
      <c r="A21" s="3" t="s">
        <v>54</v>
      </c>
      <c r="B21">
        <v>7744000</v>
      </c>
    </row>
    <row r="22" spans="1:2" x14ac:dyDescent="0.35">
      <c r="A22" s="3" t="s">
        <v>56</v>
      </c>
      <c r="B22">
        <v>69316</v>
      </c>
    </row>
    <row r="23" spans="1:2" x14ac:dyDescent="0.35">
      <c r="A23" s="3" t="s">
        <v>58</v>
      </c>
      <c r="B23">
        <v>16847</v>
      </c>
    </row>
    <row r="24" spans="1:2" x14ac:dyDescent="0.35">
      <c r="A24" s="3" t="s">
        <v>60</v>
      </c>
      <c r="B24">
        <v>25718701</v>
      </c>
    </row>
    <row r="25" spans="1:2" x14ac:dyDescent="0.35">
      <c r="A25" s="3" t="s">
        <v>62</v>
      </c>
      <c r="B25">
        <v>28739800</v>
      </c>
    </row>
    <row r="26" spans="1:2" x14ac:dyDescent="0.35">
      <c r="A26" s="3" t="s">
        <v>64</v>
      </c>
      <c r="B26">
        <v>756227</v>
      </c>
    </row>
    <row r="27" spans="1:2" x14ac:dyDescent="0.35">
      <c r="A27" s="3" t="s">
        <v>66</v>
      </c>
      <c r="B27">
        <v>970841</v>
      </c>
    </row>
    <row r="28" spans="1:2" x14ac:dyDescent="0.35">
      <c r="A28" s="3" t="s">
        <v>68</v>
      </c>
      <c r="B28">
        <v>297936</v>
      </c>
    </row>
    <row r="29" spans="1:2" x14ac:dyDescent="0.35">
      <c r="A29" s="3" t="s">
        <v>70</v>
      </c>
      <c r="B29">
        <v>606564</v>
      </c>
    </row>
    <row r="30" spans="1:2" x14ac:dyDescent="0.35">
      <c r="A30" s="3" t="s">
        <v>72</v>
      </c>
      <c r="B30">
        <v>11416133</v>
      </c>
    </row>
    <row r="31" spans="1:2" x14ac:dyDescent="0.35">
      <c r="A31" s="3" t="s">
        <v>74</v>
      </c>
      <c r="B31">
        <v>290092</v>
      </c>
    </row>
    <row r="32" spans="1:2" x14ac:dyDescent="0.35">
      <c r="A32" s="3" t="s">
        <v>76</v>
      </c>
      <c r="B32">
        <v>6612933</v>
      </c>
    </row>
    <row r="33" spans="1:2" x14ac:dyDescent="0.35">
      <c r="A33" s="3" t="s">
        <v>78</v>
      </c>
      <c r="B33">
        <v>24532800</v>
      </c>
    </row>
    <row r="34" spans="1:2" x14ac:dyDescent="0.35">
      <c r="A34" s="3" t="s">
        <v>80</v>
      </c>
      <c r="B34">
        <v>157033</v>
      </c>
    </row>
    <row r="35" spans="1:2" x14ac:dyDescent="0.35">
      <c r="A35" s="3" t="s">
        <v>82</v>
      </c>
      <c r="B35">
        <v>16237200</v>
      </c>
    </row>
    <row r="36" spans="1:2" x14ac:dyDescent="0.35">
      <c r="A36" s="3" t="s">
        <v>84</v>
      </c>
      <c r="B36">
        <v>8694400</v>
      </c>
    </row>
    <row r="37" spans="1:2" x14ac:dyDescent="0.35">
      <c r="A37" s="3" t="s">
        <v>86</v>
      </c>
      <c r="B37">
        <v>899784</v>
      </c>
    </row>
    <row r="38" spans="1:2" x14ac:dyDescent="0.35">
      <c r="A38" s="3" t="s">
        <v>88</v>
      </c>
      <c r="B38">
        <v>72355460</v>
      </c>
    </row>
    <row r="39" spans="1:2" x14ac:dyDescent="0.35">
      <c r="A39" s="3" t="s">
        <v>90</v>
      </c>
      <c r="B39">
        <v>2917200</v>
      </c>
    </row>
    <row r="40" spans="1:2" x14ac:dyDescent="0.35">
      <c r="A40" s="3" t="s">
        <v>92</v>
      </c>
      <c r="B40">
        <v>22135800</v>
      </c>
    </row>
    <row r="41" spans="1:2" x14ac:dyDescent="0.35">
      <c r="A41" s="3" t="s">
        <v>94</v>
      </c>
      <c r="B41">
        <v>739720785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C5A64-8574-4440-A169-9A5CB915AC0B}">
  <dimension ref="A1"/>
  <sheetViews>
    <sheetView workbookViewId="0">
      <selection activeCell="E10" sqref="E10"/>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7957E-A109-411F-8BFF-0FD50522BD7B}">
  <dimension ref="A1"/>
  <sheetViews>
    <sheetView workbookViewId="0">
      <selection activeCell="I15" sqref="I15"/>
    </sheetView>
  </sheetViews>
  <sheetFormatPr defaultRowHeight="14.5" x14ac:dyDescent="0.3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32CC7-A1DC-4C9D-9E9D-D194032BB5B5}">
  <dimension ref="A1:H40"/>
  <sheetViews>
    <sheetView workbookViewId="0">
      <selection activeCell="B1" sqref="B1"/>
    </sheetView>
  </sheetViews>
  <sheetFormatPr defaultRowHeight="14.5" x14ac:dyDescent="0.35"/>
  <cols>
    <col min="2" max="2" width="38.08984375" bestFit="1" customWidth="1"/>
    <col min="3" max="3" width="58.36328125" bestFit="1" customWidth="1"/>
    <col min="4" max="4" width="59.36328125" bestFit="1" customWidth="1"/>
    <col min="5" max="6" width="60.36328125" bestFit="1" customWidth="1"/>
    <col min="7" max="7" width="27.54296875" bestFit="1" customWidth="1"/>
    <col min="8" max="8" width="34.54296875" bestFit="1" customWidth="1"/>
  </cols>
  <sheetData>
    <row r="1" spans="1:8" x14ac:dyDescent="0.35">
      <c r="A1" s="1" t="s">
        <v>0</v>
      </c>
      <c r="B1" s="1" t="s">
        <v>1</v>
      </c>
      <c r="C1" s="1" t="s">
        <v>3</v>
      </c>
      <c r="D1" s="1" t="s">
        <v>12</v>
      </c>
      <c r="E1" s="1" t="s">
        <v>15</v>
      </c>
      <c r="F1" s="1" t="s">
        <v>18</v>
      </c>
      <c r="G1" s="1" t="s">
        <v>100</v>
      </c>
      <c r="H1" s="1" t="s">
        <v>101</v>
      </c>
    </row>
    <row r="2" spans="1:8" x14ac:dyDescent="0.35">
      <c r="A2" s="1" t="s">
        <v>20</v>
      </c>
      <c r="B2" s="1" t="s">
        <v>20</v>
      </c>
      <c r="C2" s="1">
        <v>40227065</v>
      </c>
      <c r="D2" s="1">
        <v>88043082</v>
      </c>
      <c r="E2" s="1">
        <v>22762376</v>
      </c>
      <c r="F2" s="1">
        <v>23201244</v>
      </c>
      <c r="G2" s="1">
        <f>SUM(UDISE_2022_23_Table_10_1_04[[#This Row],[Projected Population by Age Group - Overall - Age 3 to 5 - Total]:[Projected Population by Age Group - Overall - Age 16 to 17 - Total]])</f>
        <v>369860391</v>
      </c>
      <c r="H2" s="1" t="str" cm="1">
        <f t="array" ref="H2">_xlfn.IFS(UDISE_2022_23_Table_10_1_06[[#This Row],[Overall - Girls - Population]]&gt;10273899.83,"Above - Average",UDISE_2022_23_Table_10_1_06[[#This Row],[Overall - Girls - Population]]&lt;10273899.83,"Below - Average",UDISE_2022_23_Table_10_1_06[[#This Row],[Overall - Girls - Population]]=10273899.83,"Average")</f>
        <v>Above - Average</v>
      </c>
    </row>
    <row r="3" spans="1:8" x14ac:dyDescent="0.35">
      <c r="A3" s="1" t="s">
        <v>21</v>
      </c>
      <c r="B3" s="1" t="s">
        <v>22</v>
      </c>
      <c r="C3" s="1">
        <v>9092</v>
      </c>
      <c r="D3" s="1">
        <v>22393</v>
      </c>
      <c r="E3" s="1">
        <v>5966</v>
      </c>
      <c r="F3" s="1">
        <v>5682</v>
      </c>
      <c r="G3" s="1">
        <f>SUM(UDISE_2022_23_Table_10_1_04[[#This Row],[Projected Population by Age Group - Overall - Age 3 to 5 - Total]:[Projected Population by Age Group - Overall - Age 16 to 17 - Total]])</f>
        <v>89501</v>
      </c>
      <c r="H3" s="1" t="str" cm="1">
        <f t="array" ref="H3">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4" spans="1:8" x14ac:dyDescent="0.35">
      <c r="A4" s="1" t="s">
        <v>23</v>
      </c>
      <c r="B4" s="1" t="s">
        <v>24</v>
      </c>
      <c r="C4" s="1">
        <v>1294400</v>
      </c>
      <c r="D4" s="1">
        <v>2787000</v>
      </c>
      <c r="E4" s="1">
        <v>738200</v>
      </c>
      <c r="F4" s="1">
        <v>769200</v>
      </c>
      <c r="G4" s="1">
        <f>SUM(UDISE_2022_23_Table_10_1_04[[#This Row],[Projected Population by Age Group - Overall - Age 3 to 5 - Total]:[Projected Population by Age Group - Overall - Age 16 to 17 - Total]])</f>
        <v>11591800</v>
      </c>
      <c r="H4" s="1" t="str" cm="1">
        <f t="array" ref="H4">_xlfn.IFS(UDISE_2022_23_Table_10_1_06[[#This Row],[Overall - Girls - Population]]&gt;10273899.83,"Above - Average",UDISE_2022_23_Table_10_1_06[[#This Row],[Overall - Girls - Population]]&lt;10273899.83,"Below - Average",UDISE_2022_23_Table_10_1_06[[#This Row],[Overall - Girls - Population]]=10273899.83,"Average")</f>
        <v>Above - Average</v>
      </c>
    </row>
    <row r="5" spans="1:8" x14ac:dyDescent="0.35">
      <c r="A5" s="1" t="s">
        <v>25</v>
      </c>
      <c r="B5" s="1" t="s">
        <v>26</v>
      </c>
      <c r="C5" s="1">
        <v>41285</v>
      </c>
      <c r="D5" s="1">
        <v>107605</v>
      </c>
      <c r="E5" s="1">
        <v>32642</v>
      </c>
      <c r="F5" s="1">
        <v>31026</v>
      </c>
      <c r="G5" s="1">
        <f>SUM(UDISE_2022_23_Table_10_1_04[[#This Row],[Projected Population by Age Group - Overall - Age 3 to 5 - Total]:[Projected Population by Age Group - Overall - Age 16 to 17 - Total]])</f>
        <v>433688</v>
      </c>
      <c r="H5" s="1" t="str" cm="1">
        <f t="array" ref="H5">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6" spans="1:8" x14ac:dyDescent="0.35">
      <c r="A6" s="1" t="s">
        <v>27</v>
      </c>
      <c r="B6" s="1" t="s">
        <v>28</v>
      </c>
      <c r="C6" s="1">
        <v>1143400</v>
      </c>
      <c r="D6" s="1">
        <v>2375000</v>
      </c>
      <c r="E6" s="1">
        <v>649400</v>
      </c>
      <c r="F6" s="1">
        <v>658600</v>
      </c>
      <c r="G6" s="1">
        <f>SUM(UDISE_2022_23_Table_10_1_04[[#This Row],[Projected Population by Age Group - Overall - Age 3 to 5 - Total]:[Projected Population by Age Group - Overall - Age 16 to 17 - Total]])</f>
        <v>9978200</v>
      </c>
      <c r="H6" s="1" t="str" cm="1">
        <f t="array" ref="H6">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7" spans="1:8" x14ac:dyDescent="0.35">
      <c r="A7" s="1" t="s">
        <v>29</v>
      </c>
      <c r="B7" s="1" t="s">
        <v>30</v>
      </c>
      <c r="C7" s="1">
        <v>4588405</v>
      </c>
      <c r="D7" s="1">
        <v>10323912</v>
      </c>
      <c r="E7" s="1">
        <v>2624743</v>
      </c>
      <c r="F7" s="1">
        <v>2615601</v>
      </c>
      <c r="G7" s="1">
        <f>SUM(UDISE_2022_23_Table_10_1_04[[#This Row],[Projected Population by Age Group - Overall - Age 3 to 5 - Total]:[Projected Population by Age Group - Overall - Age 16 to 17 - Total]])</f>
        <v>43355477</v>
      </c>
      <c r="H7" s="1" t="str" cm="1">
        <f t="array" ref="H7">_xlfn.IFS(UDISE_2022_23_Table_10_1_06[[#This Row],[Overall - Girls - Population]]&gt;10273899.83,"Above - Average",UDISE_2022_23_Table_10_1_06[[#This Row],[Overall - Girls - Population]]&lt;10273899.83,"Below - Average",UDISE_2022_23_Table_10_1_06[[#This Row],[Overall - Girls - Population]]=10273899.83,"Average")</f>
        <v>Above - Average</v>
      </c>
    </row>
    <row r="8" spans="1:8" x14ac:dyDescent="0.35">
      <c r="A8" s="1" t="s">
        <v>31</v>
      </c>
      <c r="B8" s="1" t="s">
        <v>32</v>
      </c>
      <c r="C8" s="1">
        <v>27503</v>
      </c>
      <c r="D8" s="1">
        <v>62239</v>
      </c>
      <c r="E8" s="1">
        <v>16245</v>
      </c>
      <c r="F8" s="1">
        <v>16120</v>
      </c>
      <c r="G8" s="1">
        <f>SUM(UDISE_2022_23_Table_10_1_04[[#This Row],[Projected Population by Age Group - Overall - Age 3 to 5 - Total]:[Projected Population by Age Group - Overall - Age 16 to 17 - Total]])</f>
        <v>271791</v>
      </c>
      <c r="H8" s="1" t="str" cm="1">
        <f t="array" ref="H8">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9" spans="1:8" x14ac:dyDescent="0.35">
      <c r="A9" s="1" t="s">
        <v>33</v>
      </c>
      <c r="B9" s="1" t="s">
        <v>34</v>
      </c>
      <c r="C9" s="1">
        <v>971933</v>
      </c>
      <c r="D9" s="1">
        <v>2137600</v>
      </c>
      <c r="E9" s="1">
        <v>529200</v>
      </c>
      <c r="F9" s="1">
        <v>534000</v>
      </c>
      <c r="G9" s="1">
        <f>SUM(UDISE_2022_23_Table_10_1_04[[#This Row],[Projected Population by Age Group - Overall - Age 3 to 5 - Total]:[Projected Population by Age Group - Overall - Age 16 to 17 - Total]])</f>
        <v>8543467</v>
      </c>
      <c r="H9" s="1" t="str" cm="1">
        <f t="array" ref="H9">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10" spans="1:8" x14ac:dyDescent="0.35">
      <c r="A10" s="1" t="s">
        <v>35</v>
      </c>
      <c r="B10" s="1" t="s">
        <v>36</v>
      </c>
      <c r="C10" s="1">
        <v>20084</v>
      </c>
      <c r="D10" s="1">
        <v>41379</v>
      </c>
      <c r="E10" s="1">
        <v>9212</v>
      </c>
      <c r="F10" s="1">
        <v>8273</v>
      </c>
      <c r="G10" s="1">
        <f>SUM(UDISE_2022_23_Table_10_1_04[[#This Row],[Projected Population by Age Group - Overall - Age 3 to 5 - Total]:[Projected Population by Age Group - Overall - Age 16 to 17 - Total]])</f>
        <v>172964</v>
      </c>
      <c r="H10" s="1" t="str" cm="1">
        <f t="array" ref="H10">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11" spans="1:8" x14ac:dyDescent="0.35">
      <c r="A11" s="1" t="s">
        <v>37</v>
      </c>
      <c r="B11" s="1" t="s">
        <v>38</v>
      </c>
      <c r="C11" s="1">
        <v>581959</v>
      </c>
      <c r="D11" s="1">
        <v>1191045</v>
      </c>
      <c r="E11" s="1">
        <v>321006</v>
      </c>
      <c r="F11" s="1">
        <v>333660</v>
      </c>
      <c r="G11" s="1">
        <f>SUM(UDISE_2022_23_Table_10_1_04[[#This Row],[Projected Population by Age Group - Overall - Age 3 to 5 - Total]:[Projected Population by Age Group - Overall - Age 16 to 17 - Total]])</f>
        <v>5306108</v>
      </c>
      <c r="H11" s="1" t="str" cm="1">
        <f t="array" ref="H11">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12" spans="1:8" x14ac:dyDescent="0.35">
      <c r="A12" s="1" t="s">
        <v>39</v>
      </c>
      <c r="B12" s="1" t="s">
        <v>40</v>
      </c>
      <c r="C12" s="1">
        <v>36301</v>
      </c>
      <c r="D12" s="1">
        <v>77202</v>
      </c>
      <c r="E12" s="1">
        <v>20271</v>
      </c>
      <c r="F12" s="1">
        <v>20143</v>
      </c>
      <c r="G12" s="1">
        <f>SUM(UDISE_2022_23_Table_10_1_04[[#This Row],[Projected Population by Age Group - Overall - Age 3 to 5 - Total]:[Projected Population by Age Group - Overall - Age 16 to 17 - Total]])</f>
        <v>320012</v>
      </c>
      <c r="H12" s="1" t="str" cm="1">
        <f t="array" ref="H12">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13" spans="1:8" x14ac:dyDescent="0.35">
      <c r="A13" s="1" t="s">
        <v>41</v>
      </c>
      <c r="B13" s="1" t="s">
        <v>42</v>
      </c>
      <c r="C13" s="1">
        <v>2061356</v>
      </c>
      <c r="D13" s="1">
        <v>4105672</v>
      </c>
      <c r="E13" s="1">
        <v>1037165</v>
      </c>
      <c r="F13" s="1">
        <v>1056530</v>
      </c>
      <c r="G13" s="1">
        <f>SUM(UDISE_2022_23_Table_10_1_04[[#This Row],[Projected Population by Age Group - Overall - Age 3 to 5 - Total]:[Projected Population by Age Group - Overall - Age 16 to 17 - Total]])</f>
        <v>17905919</v>
      </c>
      <c r="H13" s="1" t="str" cm="1">
        <f t="array" ref="H13">_xlfn.IFS(UDISE_2022_23_Table_10_1_06[[#This Row],[Overall - Girls - Population]]&gt;10273899.83,"Above - Average",UDISE_2022_23_Table_10_1_06[[#This Row],[Overall - Girls - Population]]&lt;10273899.83,"Below - Average",UDISE_2022_23_Table_10_1_06[[#This Row],[Overall - Girls - Population]]=10273899.83,"Average")</f>
        <v>Above - Average</v>
      </c>
    </row>
    <row r="14" spans="1:8" x14ac:dyDescent="0.35">
      <c r="A14" s="1" t="s">
        <v>43</v>
      </c>
      <c r="B14" s="1" t="s">
        <v>44</v>
      </c>
      <c r="C14" s="1">
        <v>881200</v>
      </c>
      <c r="D14" s="1">
        <v>1787200</v>
      </c>
      <c r="E14" s="1">
        <v>448600</v>
      </c>
      <c r="F14" s="1">
        <v>461400</v>
      </c>
      <c r="G14" s="1">
        <f>SUM(UDISE_2022_23_Table_10_1_04[[#This Row],[Projected Population by Age Group - Overall - Age 3 to 5 - Total]:[Projected Population by Age Group - Overall - Age 16 to 17 - Total]])</f>
        <v>7866200</v>
      </c>
      <c r="H14" s="1" t="str" cm="1">
        <f t="array" ref="H14">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15" spans="1:8" x14ac:dyDescent="0.35">
      <c r="A15" s="1" t="s">
        <v>45</v>
      </c>
      <c r="B15" s="1" t="s">
        <v>46</v>
      </c>
      <c r="C15" s="1">
        <v>162067</v>
      </c>
      <c r="D15" s="1">
        <v>391400</v>
      </c>
      <c r="E15" s="1">
        <v>106200</v>
      </c>
      <c r="F15" s="1">
        <v>109400</v>
      </c>
      <c r="G15" s="1">
        <f>SUM(UDISE_2022_23_Table_10_1_04[[#This Row],[Projected Population by Age Group - Overall - Age 3 to 5 - Total]:[Projected Population by Age Group - Overall - Age 16 to 17 - Total]])</f>
        <v>1627867</v>
      </c>
      <c r="H15" s="1" t="str" cm="1">
        <f t="array" ref="H15">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16" spans="1:8" x14ac:dyDescent="0.35">
      <c r="A16" s="1" t="s">
        <v>47</v>
      </c>
      <c r="B16" s="1" t="s">
        <v>48</v>
      </c>
      <c r="C16" s="1">
        <v>298467</v>
      </c>
      <c r="D16" s="1">
        <v>832400</v>
      </c>
      <c r="E16" s="1">
        <v>254800</v>
      </c>
      <c r="F16" s="1">
        <v>260200</v>
      </c>
      <c r="G16" s="1">
        <f>SUM(UDISE_2022_23_Table_10_1_04[[#This Row],[Projected Population by Age Group - Overall - Age 3 to 5 - Total]:[Projected Population by Age Group - Overall - Age 16 to 17 - Total]])</f>
        <v>3488533</v>
      </c>
      <c r="H16" s="1" t="str" cm="1">
        <f t="array" ref="H16">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17" spans="1:8" x14ac:dyDescent="0.35">
      <c r="A17" s="1" t="s">
        <v>49</v>
      </c>
      <c r="B17" s="1" t="s">
        <v>50</v>
      </c>
      <c r="C17" s="1">
        <v>1392800</v>
      </c>
      <c r="D17" s="1">
        <v>2845200</v>
      </c>
      <c r="E17" s="1">
        <v>769800</v>
      </c>
      <c r="F17" s="1">
        <v>779000</v>
      </c>
      <c r="G17" s="1">
        <f>SUM(UDISE_2022_23_Table_10_1_04[[#This Row],[Projected Population by Age Group - Overall - Age 3 to 5 - Total]:[Projected Population by Age Group - Overall - Age 16 to 17 - Total]])</f>
        <v>11976400</v>
      </c>
      <c r="H17" s="1" t="str" cm="1">
        <f t="array" ref="H17">_xlfn.IFS(UDISE_2022_23_Table_10_1_06[[#This Row],[Overall - Girls - Population]]&gt;10273899.83,"Above - Average",UDISE_2022_23_Table_10_1_06[[#This Row],[Overall - Girls - Population]]&lt;10273899.83,"Below - Average",UDISE_2022_23_Table_10_1_06[[#This Row],[Overall - Girls - Population]]=10273899.83,"Average")</f>
        <v>Above - Average</v>
      </c>
    </row>
    <row r="18" spans="1:8" x14ac:dyDescent="0.35">
      <c r="A18" s="1" t="s">
        <v>51</v>
      </c>
      <c r="B18" s="1" t="s">
        <v>52</v>
      </c>
      <c r="C18" s="1">
        <v>1757400</v>
      </c>
      <c r="D18" s="1">
        <v>3826400</v>
      </c>
      <c r="E18" s="1">
        <v>994800</v>
      </c>
      <c r="F18" s="1">
        <v>1012000</v>
      </c>
      <c r="G18" s="1">
        <f>SUM(UDISE_2022_23_Table_10_1_04[[#This Row],[Projected Population by Age Group - Overall - Age 3 to 5 - Total]:[Projected Population by Age Group - Overall - Age 16 to 17 - Total]])</f>
        <v>15763400</v>
      </c>
      <c r="H18" s="1" t="str" cm="1">
        <f t="array" ref="H18">_xlfn.IFS(UDISE_2022_23_Table_10_1_06[[#This Row],[Overall - Girls - Population]]&gt;10273899.83,"Above - Average",UDISE_2022_23_Table_10_1_06[[#This Row],[Overall - Girls - Population]]&lt;10273899.83,"Below - Average",UDISE_2022_23_Table_10_1_06[[#This Row],[Overall - Girls - Population]]=10273899.83,"Average")</f>
        <v>Above - Average</v>
      </c>
    </row>
    <row r="19" spans="1:8" x14ac:dyDescent="0.35">
      <c r="A19" s="1" t="s">
        <v>53</v>
      </c>
      <c r="B19" s="1" t="s">
        <v>54</v>
      </c>
      <c r="C19" s="1">
        <v>902800</v>
      </c>
      <c r="D19" s="1">
        <v>1898000</v>
      </c>
      <c r="E19" s="1">
        <v>492800</v>
      </c>
      <c r="F19" s="1">
        <v>496000</v>
      </c>
      <c r="G19" s="1">
        <f>SUM(UDISE_2022_23_Table_10_1_04[[#This Row],[Projected Population by Age Group - Overall - Age 3 to 5 - Total]:[Projected Population by Age Group - Overall - Age 16 to 17 - Total]])</f>
        <v>7744000</v>
      </c>
      <c r="H19" s="1" t="str" cm="1">
        <f t="array" ref="H19">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20" spans="1:8" x14ac:dyDescent="0.35">
      <c r="A20" s="1" t="s">
        <v>55</v>
      </c>
      <c r="B20" s="1" t="s">
        <v>56</v>
      </c>
      <c r="C20" s="1">
        <v>8331</v>
      </c>
      <c r="D20" s="1">
        <v>16575</v>
      </c>
      <c r="E20" s="1">
        <v>4414</v>
      </c>
      <c r="F20" s="1">
        <v>4629</v>
      </c>
      <c r="G20" s="1">
        <f>SUM(UDISE_2022_23_Table_10_1_04[[#This Row],[Projected Population by Age Group - Overall - Age 3 to 5 - Total]:[Projected Population by Age Group - Overall - Age 16 to 17 - Total]])</f>
        <v>69316</v>
      </c>
      <c r="H20" s="1" t="str" cm="1">
        <f t="array" ref="H20">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21" spans="1:8" x14ac:dyDescent="0.35">
      <c r="A21" s="1" t="s">
        <v>57</v>
      </c>
      <c r="B21" s="1" t="s">
        <v>58</v>
      </c>
      <c r="C21" s="1">
        <v>1709</v>
      </c>
      <c r="D21" s="1">
        <v>4386</v>
      </c>
      <c r="E21" s="1">
        <v>1127</v>
      </c>
      <c r="F21" s="1">
        <v>1172</v>
      </c>
      <c r="G21" s="1">
        <f>SUM(UDISE_2022_23_Table_10_1_04[[#This Row],[Projected Population by Age Group - Overall - Age 3 to 5 - Total]:[Projected Population by Age Group - Overall - Age 16 to 17 - Total]])</f>
        <v>16847</v>
      </c>
      <c r="H21" s="1" t="str" cm="1">
        <f t="array" ref="H21">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22" spans="1:8" x14ac:dyDescent="0.35">
      <c r="A22" s="1" t="s">
        <v>59</v>
      </c>
      <c r="B22" s="1" t="s">
        <v>60</v>
      </c>
      <c r="C22" s="1">
        <v>2840166</v>
      </c>
      <c r="D22" s="1">
        <v>6117812</v>
      </c>
      <c r="E22" s="1">
        <v>1475792</v>
      </c>
      <c r="F22" s="1">
        <v>1480437</v>
      </c>
      <c r="G22" s="1">
        <f>SUM(UDISE_2022_23_Table_10_1_04[[#This Row],[Projected Population by Age Group - Overall - Age 3 to 5 - Total]:[Projected Population by Age Group - Overall - Age 16 to 17 - Total]])</f>
        <v>25718701</v>
      </c>
      <c r="H22" s="1" t="str" cm="1">
        <f t="array" ref="H22">_xlfn.IFS(UDISE_2022_23_Table_10_1_06[[#This Row],[Overall - Girls - Population]]&gt;10273899.83,"Above - Average",UDISE_2022_23_Table_10_1_06[[#This Row],[Overall - Girls - Population]]&lt;10273899.83,"Below - Average",UDISE_2022_23_Table_10_1_06[[#This Row],[Overall - Girls - Population]]=10273899.83,"Average")</f>
        <v>Above - Average</v>
      </c>
    </row>
    <row r="23" spans="1:8" x14ac:dyDescent="0.35">
      <c r="A23" s="1" t="s">
        <v>61</v>
      </c>
      <c r="B23" s="1" t="s">
        <v>62</v>
      </c>
      <c r="C23" s="1">
        <v>2870533</v>
      </c>
      <c r="D23" s="1">
        <v>6813200</v>
      </c>
      <c r="E23" s="1">
        <v>1853800</v>
      </c>
      <c r="F23" s="1">
        <v>1899400</v>
      </c>
      <c r="G23" s="1">
        <f>SUM(UDISE_2022_23_Table_10_1_04[[#This Row],[Projected Population by Age Group - Overall - Age 3 to 5 - Total]:[Projected Population by Age Group - Overall - Age 16 to 17 - Total]])</f>
        <v>28739800</v>
      </c>
      <c r="H23" s="1" t="str" cm="1">
        <f t="array" ref="H23">_xlfn.IFS(UDISE_2022_23_Table_10_1_06[[#This Row],[Overall - Girls - Population]]&gt;10273899.83,"Above - Average",UDISE_2022_23_Table_10_1_06[[#This Row],[Overall - Girls - Population]]&lt;10273899.83,"Below - Average",UDISE_2022_23_Table_10_1_06[[#This Row],[Overall - Girls - Population]]=10273899.83,"Average")</f>
        <v>Above - Average</v>
      </c>
    </row>
    <row r="24" spans="1:8" x14ac:dyDescent="0.35">
      <c r="A24" s="1" t="s">
        <v>63</v>
      </c>
      <c r="B24" s="1" t="s">
        <v>64</v>
      </c>
      <c r="C24" s="1">
        <v>70076</v>
      </c>
      <c r="D24" s="1">
        <v>182490</v>
      </c>
      <c r="E24" s="1">
        <v>56677</v>
      </c>
      <c r="F24" s="1">
        <v>56266</v>
      </c>
      <c r="G24" s="1">
        <f>SUM(UDISE_2022_23_Table_10_1_04[[#This Row],[Projected Population by Age Group - Overall - Age 3 to 5 - Total]:[Projected Population by Age Group - Overall - Age 16 to 17 - Total]])</f>
        <v>756227</v>
      </c>
      <c r="H24" s="1" t="str" cm="1">
        <f t="array" ref="H24">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25" spans="1:8" x14ac:dyDescent="0.35">
      <c r="A25" s="1" t="s">
        <v>65</v>
      </c>
      <c r="B25" s="1" t="s">
        <v>66</v>
      </c>
      <c r="C25" s="1">
        <v>106021</v>
      </c>
      <c r="D25" s="1">
        <v>235553</v>
      </c>
      <c r="E25" s="1">
        <v>65854</v>
      </c>
      <c r="F25" s="1">
        <v>67107</v>
      </c>
      <c r="G25" s="1">
        <f>SUM(UDISE_2022_23_Table_10_1_04[[#This Row],[Projected Population by Age Group - Overall - Age 3 to 5 - Total]:[Projected Population by Age Group - Overall - Age 16 to 17 - Total]])</f>
        <v>970841</v>
      </c>
      <c r="H25" s="1" t="str" cm="1">
        <f t="array" ref="H25">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26" spans="1:8" x14ac:dyDescent="0.35">
      <c r="A26" s="1" t="s">
        <v>67</v>
      </c>
      <c r="B26" s="1" t="s">
        <v>68</v>
      </c>
      <c r="C26" s="1">
        <v>30626</v>
      </c>
      <c r="D26" s="1">
        <v>71418</v>
      </c>
      <c r="E26" s="1">
        <v>20557</v>
      </c>
      <c r="F26" s="1">
        <v>22390</v>
      </c>
      <c r="G26" s="1">
        <f>SUM(UDISE_2022_23_Table_10_1_04[[#This Row],[Projected Population by Age Group - Overall - Age 3 to 5 - Total]:[Projected Population by Age Group - Overall - Age 16 to 17 - Total]])</f>
        <v>297936</v>
      </c>
      <c r="H26" s="1" t="str" cm="1">
        <f t="array" ref="H26">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27" spans="1:8" x14ac:dyDescent="0.35">
      <c r="A27" s="1" t="s">
        <v>69</v>
      </c>
      <c r="B27" s="1" t="s">
        <v>70</v>
      </c>
      <c r="C27" s="1">
        <v>55531</v>
      </c>
      <c r="D27" s="1">
        <v>145029</v>
      </c>
      <c r="E27" s="1">
        <v>43635</v>
      </c>
      <c r="F27" s="1">
        <v>46174</v>
      </c>
      <c r="G27" s="1">
        <f>SUM(UDISE_2022_23_Table_10_1_04[[#This Row],[Projected Population by Age Group - Overall - Age 3 to 5 - Total]:[Projected Population by Age Group - Overall - Age 16 to 17 - Total]])</f>
        <v>606564</v>
      </c>
      <c r="H27" s="1" t="str" cm="1">
        <f t="array" ref="H27">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28" spans="1:8" x14ac:dyDescent="0.35">
      <c r="A28" s="1" t="s">
        <v>71</v>
      </c>
      <c r="B28" s="1" t="s">
        <v>72</v>
      </c>
      <c r="C28" s="1">
        <v>1221600</v>
      </c>
      <c r="D28" s="1">
        <v>2816400</v>
      </c>
      <c r="E28" s="1">
        <v>746600</v>
      </c>
      <c r="F28" s="1">
        <v>764800</v>
      </c>
      <c r="G28" s="1">
        <f>SUM(UDISE_2022_23_Table_10_1_04[[#This Row],[Projected Population by Age Group - Overall - Age 3 to 5 - Total]:[Projected Population by Age Group - Overall - Age 16 to 17 - Total]])</f>
        <v>11416133</v>
      </c>
      <c r="H28" s="1" t="str" cm="1">
        <f t="array" ref="H28">_xlfn.IFS(UDISE_2022_23_Table_10_1_06[[#This Row],[Overall - Girls - Population]]&gt;10273899.83,"Above - Average",UDISE_2022_23_Table_10_1_06[[#This Row],[Overall - Girls - Population]]&lt;10273899.83,"Below - Average",UDISE_2022_23_Table_10_1_06[[#This Row],[Overall - Girls - Population]]=10273899.83,"Average")</f>
        <v>Above - Average</v>
      </c>
    </row>
    <row r="29" spans="1:8" x14ac:dyDescent="0.35">
      <c r="A29" s="1" t="s">
        <v>73</v>
      </c>
      <c r="B29" s="1" t="s">
        <v>74</v>
      </c>
      <c r="C29" s="1">
        <v>32196</v>
      </c>
      <c r="D29" s="1">
        <v>70594</v>
      </c>
      <c r="E29" s="1">
        <v>18815</v>
      </c>
      <c r="F29" s="1">
        <v>18424</v>
      </c>
      <c r="G29" s="1">
        <f>SUM(UDISE_2022_23_Table_10_1_04[[#This Row],[Projected Population by Age Group - Overall - Age 3 to 5 - Total]:[Projected Population by Age Group - Overall - Age 16 to 17 - Total]])</f>
        <v>290092</v>
      </c>
      <c r="H29" s="1" t="str" cm="1">
        <f t="array" ref="H29">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30" spans="1:8" x14ac:dyDescent="0.35">
      <c r="A30" s="1" t="s">
        <v>75</v>
      </c>
      <c r="B30" s="1" t="s">
        <v>76</v>
      </c>
      <c r="C30" s="1">
        <v>667400</v>
      </c>
      <c r="D30" s="1">
        <v>1544400</v>
      </c>
      <c r="E30" s="1">
        <v>409200</v>
      </c>
      <c r="F30" s="1">
        <v>424000</v>
      </c>
      <c r="G30" s="1">
        <f>SUM(UDISE_2022_23_Table_10_1_04[[#This Row],[Projected Population by Age Group - Overall - Age 3 to 5 - Total]:[Projected Population by Age Group - Overall - Age 16 to 17 - Total]])</f>
        <v>6612933</v>
      </c>
      <c r="H30" s="1" t="str" cm="1">
        <f t="array" ref="H30">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31" spans="1:8" x14ac:dyDescent="0.35">
      <c r="A31" s="1" t="s">
        <v>77</v>
      </c>
      <c r="B31" s="1" t="s">
        <v>78</v>
      </c>
      <c r="C31" s="1">
        <v>2825400</v>
      </c>
      <c r="D31" s="1">
        <v>5792200</v>
      </c>
      <c r="E31" s="1">
        <v>1443600</v>
      </c>
      <c r="F31" s="1">
        <v>1464200</v>
      </c>
      <c r="G31" s="1">
        <f>SUM(UDISE_2022_23_Table_10_1_04[[#This Row],[Projected Population by Age Group - Overall - Age 3 to 5 - Total]:[Projected Population by Age Group - Overall - Age 16 to 17 - Total]])</f>
        <v>24532800</v>
      </c>
      <c r="H31" s="1" t="str" cm="1">
        <f t="array" ref="H31">_xlfn.IFS(UDISE_2022_23_Table_10_1_06[[#This Row],[Overall - Girls - Population]]&gt;10273899.83,"Above - Average",UDISE_2022_23_Table_10_1_06[[#This Row],[Overall - Girls - Population]]&lt;10273899.83,"Below - Average",UDISE_2022_23_Table_10_1_06[[#This Row],[Overall - Girls - Population]]=10273899.83,"Average")</f>
        <v>Above - Average</v>
      </c>
    </row>
    <row r="32" spans="1:8" x14ac:dyDescent="0.35">
      <c r="A32" s="1" t="s">
        <v>79</v>
      </c>
      <c r="B32" s="1" t="s">
        <v>80</v>
      </c>
      <c r="C32" s="1">
        <v>12362</v>
      </c>
      <c r="D32" s="1">
        <v>38290</v>
      </c>
      <c r="E32" s="1">
        <v>12423</v>
      </c>
      <c r="F32" s="1">
        <v>13631</v>
      </c>
      <c r="G32" s="1">
        <f>SUM(UDISE_2022_23_Table_10_1_04[[#This Row],[Projected Population by Age Group - Overall - Age 3 to 5 - Total]:[Projected Population by Age Group - Overall - Age 16 to 17 - Total]])</f>
        <v>157033</v>
      </c>
      <c r="H32" s="1" t="str" cm="1">
        <f t="array" ref="H32">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33" spans="1:8" x14ac:dyDescent="0.35">
      <c r="A33" s="1" t="s">
        <v>81</v>
      </c>
      <c r="B33" s="1" t="s">
        <v>82</v>
      </c>
      <c r="C33" s="1">
        <v>1780000</v>
      </c>
      <c r="D33" s="1">
        <v>3928600</v>
      </c>
      <c r="E33" s="1">
        <v>1036200</v>
      </c>
      <c r="F33" s="1">
        <v>1058000</v>
      </c>
      <c r="G33" s="1">
        <f>SUM(UDISE_2022_23_Table_10_1_04[[#This Row],[Projected Population by Age Group - Overall - Age 3 to 5 - Total]:[Projected Population by Age Group - Overall - Age 16 to 17 - Total]])</f>
        <v>16237200</v>
      </c>
      <c r="H33" s="1" t="str" cm="1">
        <f t="array" ref="H33">_xlfn.IFS(UDISE_2022_23_Table_10_1_06[[#This Row],[Overall - Girls - Population]]&gt;10273899.83,"Above - Average",UDISE_2022_23_Table_10_1_06[[#This Row],[Overall - Girls - Population]]&lt;10273899.83,"Below - Average",UDISE_2022_23_Table_10_1_06[[#This Row],[Overall - Girls - Population]]=10273899.83,"Average")</f>
        <v>Above - Average</v>
      </c>
    </row>
    <row r="34" spans="1:8" x14ac:dyDescent="0.35">
      <c r="A34" s="1" t="s">
        <v>83</v>
      </c>
      <c r="B34" s="1" t="s">
        <v>84</v>
      </c>
      <c r="C34" s="1">
        <v>971400</v>
      </c>
      <c r="D34" s="1">
        <v>2054800</v>
      </c>
      <c r="E34" s="1">
        <v>553800</v>
      </c>
      <c r="F34" s="1">
        <v>577400</v>
      </c>
      <c r="G34" s="1">
        <f>SUM(UDISE_2022_23_Table_10_1_04[[#This Row],[Projected Population by Age Group - Overall - Age 3 to 5 - Total]:[Projected Population by Age Group - Overall - Age 16 to 17 - Total]])</f>
        <v>8694400</v>
      </c>
      <c r="H34" s="1" t="str" cm="1">
        <f t="array" ref="H34">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35" spans="1:8" x14ac:dyDescent="0.35">
      <c r="A35" s="1" t="s">
        <v>85</v>
      </c>
      <c r="B35" s="1" t="s">
        <v>86</v>
      </c>
      <c r="C35" s="1">
        <v>90355</v>
      </c>
      <c r="D35" s="1">
        <v>211237</v>
      </c>
      <c r="E35" s="1">
        <v>64028</v>
      </c>
      <c r="F35" s="1">
        <v>69038</v>
      </c>
      <c r="G35" s="1">
        <f>SUM(UDISE_2022_23_Table_10_1_04[[#This Row],[Projected Population by Age Group - Overall - Age 3 to 5 - Total]:[Projected Population by Age Group - Overall - Age 16 to 17 - Total]])</f>
        <v>899784</v>
      </c>
      <c r="H35" s="1" t="str" cm="1">
        <f t="array" ref="H35">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36" spans="1:8" x14ac:dyDescent="0.35">
      <c r="A36" s="1" t="s">
        <v>87</v>
      </c>
      <c r="B36" s="1" t="s">
        <v>88</v>
      </c>
      <c r="C36" s="1">
        <v>7903640</v>
      </c>
      <c r="D36" s="1">
        <v>17061049</v>
      </c>
      <c r="E36" s="1">
        <v>4212605</v>
      </c>
      <c r="F36" s="1">
        <v>4316142</v>
      </c>
      <c r="G36" s="1">
        <f>SUM(UDISE_2022_23_Table_10_1_04[[#This Row],[Projected Population by Age Group - Overall - Age 3 to 5 - Total]:[Projected Population by Age Group - Overall - Age 16 to 17 - Total]])</f>
        <v>72355460</v>
      </c>
      <c r="H36" s="1" t="str" cm="1">
        <f t="array" ref="H36">_xlfn.IFS(UDISE_2022_23_Table_10_1_06[[#This Row],[Overall - Girls - Population]]&gt;10273899.83,"Above - Average",UDISE_2022_23_Table_10_1_06[[#This Row],[Overall - Girls - Population]]&lt;10273899.83,"Below - Average",UDISE_2022_23_Table_10_1_06[[#This Row],[Overall - Girls - Population]]=10273899.83,"Average")</f>
        <v>Above - Average</v>
      </c>
    </row>
    <row r="37" spans="1:8" x14ac:dyDescent="0.35">
      <c r="A37" s="1" t="s">
        <v>89</v>
      </c>
      <c r="B37" s="1" t="s">
        <v>90</v>
      </c>
      <c r="C37" s="1">
        <v>319000</v>
      </c>
      <c r="D37" s="1">
        <v>654600</v>
      </c>
      <c r="E37" s="1">
        <v>182800</v>
      </c>
      <c r="F37" s="1">
        <v>190600</v>
      </c>
      <c r="G37" s="1">
        <f>SUM(UDISE_2022_23_Table_10_1_04[[#This Row],[Projected Population by Age Group - Overall - Age 3 to 5 - Total]:[Projected Population by Age Group - Overall - Age 16 to 17 - Total]])</f>
        <v>2917200</v>
      </c>
      <c r="H37" s="1" t="str" cm="1">
        <f t="array" ref="H37">_xlfn.IFS(UDISE_2022_23_Table_10_1_06[[#This Row],[Overall - Girls - Population]]&gt;10273899.83,"Above - Average",UDISE_2022_23_Table_10_1_06[[#This Row],[Overall - Girls - Population]]&lt;10273899.83,"Below - Average",UDISE_2022_23_Table_10_1_06[[#This Row],[Overall - Girls - Population]]=10273899.83,"Average")</f>
        <v>Below - Average</v>
      </c>
    </row>
    <row r="38" spans="1:8" x14ac:dyDescent="0.35">
      <c r="A38" s="1" t="s">
        <v>91</v>
      </c>
      <c r="B38" s="1" t="s">
        <v>92</v>
      </c>
      <c r="C38" s="1">
        <v>2250267</v>
      </c>
      <c r="D38" s="1">
        <v>5472800</v>
      </c>
      <c r="E38" s="1">
        <v>1509400</v>
      </c>
      <c r="F38" s="1">
        <v>1560600</v>
      </c>
      <c r="G38" s="1">
        <f>SUM(UDISE_2022_23_Table_10_1_04[[#This Row],[Projected Population by Age Group - Overall - Age 3 to 5 - Total]:[Projected Population by Age Group - Overall - Age 16 to 17 - Total]])</f>
        <v>22135800</v>
      </c>
      <c r="H38" s="1" t="str" cm="1">
        <f t="array" ref="H38">_xlfn.IFS(UDISE_2022_23_Table_10_1_06[[#This Row],[Overall - Girls - Population]]&gt;10273899.83,"Above - Average",UDISE_2022_23_Table_10_1_06[[#This Row],[Overall - Girls - Population]]&lt;10273899.83,"Below - Average",UDISE_2022_23_Table_10_1_06[[#This Row],[Overall - Girls - Population]]=10273899.83,"Average")</f>
        <v>Above - Average</v>
      </c>
    </row>
    <row r="40" spans="1:8" x14ac:dyDescent="0.35">
      <c r="F40" s="4" t="s">
        <v>104</v>
      </c>
      <c r="G40" s="1">
        <f>AVERAGE(G3:G38)</f>
        <v>10273899.833333334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CCEAE-CA37-49E8-A149-6A0D2BB92696}">
  <dimension ref="A1:B41"/>
  <sheetViews>
    <sheetView topLeftCell="A22" workbookViewId="0">
      <selection activeCell="J30" sqref="J30"/>
    </sheetView>
  </sheetViews>
  <sheetFormatPr defaultRowHeight="14.5" x14ac:dyDescent="0.35"/>
  <cols>
    <col min="1" max="1" width="38.08984375" bestFit="1" customWidth="1"/>
    <col min="2" max="2" width="29.453125" bestFit="1" customWidth="1"/>
    <col min="3" max="4" width="5.81640625" bestFit="1" customWidth="1"/>
    <col min="5" max="15" width="6.81640625" bestFit="1" customWidth="1"/>
    <col min="16" max="25" width="7.81640625" bestFit="1" customWidth="1"/>
    <col min="26" max="37" width="8.81640625" bestFit="1" customWidth="1"/>
    <col min="38" max="38" width="9.81640625" bestFit="1" customWidth="1"/>
    <col min="39" max="39" width="10.7265625" bestFit="1" customWidth="1"/>
    <col min="40" max="40" width="8.6328125" bestFit="1" customWidth="1"/>
    <col min="41" max="41" width="11.54296875" bestFit="1" customWidth="1"/>
    <col min="42" max="42" width="8.6328125" bestFit="1" customWidth="1"/>
    <col min="43" max="43" width="11.54296875" bestFit="1" customWidth="1"/>
    <col min="44" max="44" width="8.6328125" bestFit="1" customWidth="1"/>
    <col min="45" max="45" width="11.54296875" bestFit="1" customWidth="1"/>
    <col min="46" max="46" width="8.6328125" bestFit="1" customWidth="1"/>
    <col min="47" max="47" width="11.54296875" bestFit="1" customWidth="1"/>
    <col min="48" max="48" width="8.6328125" bestFit="1" customWidth="1"/>
    <col min="49" max="49" width="11.54296875" bestFit="1" customWidth="1"/>
    <col min="50" max="50" width="8.81640625" bestFit="1" customWidth="1"/>
    <col min="51" max="51" width="11.54296875" bestFit="1" customWidth="1"/>
    <col min="52" max="52" width="8.81640625" bestFit="1" customWidth="1"/>
    <col min="53" max="53" width="11.54296875" bestFit="1" customWidth="1"/>
    <col min="54" max="54" width="8.81640625" bestFit="1" customWidth="1"/>
    <col min="55" max="55" width="11.54296875" bestFit="1" customWidth="1"/>
    <col min="56" max="56" width="8.81640625" bestFit="1" customWidth="1"/>
    <col min="57" max="57" width="11.54296875" bestFit="1" customWidth="1"/>
    <col min="58" max="58" width="9.6328125" bestFit="1" customWidth="1"/>
    <col min="59" max="59" width="12.54296875" bestFit="1" customWidth="1"/>
    <col min="60" max="60" width="9.6328125" bestFit="1" customWidth="1"/>
    <col min="61" max="61" width="12.54296875" bestFit="1" customWidth="1"/>
    <col min="62" max="62" width="9.6328125" bestFit="1" customWidth="1"/>
    <col min="63" max="63" width="12.54296875" bestFit="1" customWidth="1"/>
    <col min="64" max="64" width="9.6328125" bestFit="1" customWidth="1"/>
    <col min="65" max="65" width="12.54296875" bestFit="1" customWidth="1"/>
    <col min="66" max="66" width="9.6328125" bestFit="1" customWidth="1"/>
    <col min="67" max="67" width="12.54296875" bestFit="1" customWidth="1"/>
    <col min="68" max="68" width="9.6328125" bestFit="1" customWidth="1"/>
    <col min="69" max="69" width="12.54296875" bestFit="1" customWidth="1"/>
    <col min="70" max="70" width="9.6328125" bestFit="1" customWidth="1"/>
    <col min="71" max="71" width="12.54296875" bestFit="1" customWidth="1"/>
    <col min="72" max="72" width="9.6328125" bestFit="1" customWidth="1"/>
    <col min="73" max="73" width="12.54296875" bestFit="1" customWidth="1"/>
    <col min="74" max="74" width="10.6328125" bestFit="1" customWidth="1"/>
    <col min="75" max="75" width="13.6328125" bestFit="1" customWidth="1"/>
    <col min="76" max="76" width="10.7265625" bestFit="1" customWidth="1"/>
    <col min="77" max="77" width="8.81640625" bestFit="1" customWidth="1"/>
    <col min="78" max="79" width="11.54296875" bestFit="1" customWidth="1"/>
    <col min="80" max="80" width="8.81640625" bestFit="1" customWidth="1"/>
    <col min="81" max="82" width="11.54296875" bestFit="1" customWidth="1"/>
    <col min="83" max="83" width="9.6328125" bestFit="1" customWidth="1"/>
    <col min="84" max="84" width="11.54296875" bestFit="1" customWidth="1"/>
    <col min="85" max="85" width="12.54296875" bestFit="1" customWidth="1"/>
    <col min="86" max="86" width="9.6328125" bestFit="1" customWidth="1"/>
    <col min="87" max="88" width="12.54296875" bestFit="1" customWidth="1"/>
    <col min="89" max="89" width="9.6328125" bestFit="1" customWidth="1"/>
    <col min="90" max="91" width="12.54296875" bestFit="1" customWidth="1"/>
    <col min="92" max="92" width="9.6328125" bestFit="1" customWidth="1"/>
    <col min="93" max="94" width="12.54296875" bestFit="1" customWidth="1"/>
    <col min="95" max="95" width="9.6328125" bestFit="1" customWidth="1"/>
    <col min="96" max="97" width="12.54296875" bestFit="1" customWidth="1"/>
    <col min="98" max="98" width="9.6328125" bestFit="1" customWidth="1"/>
    <col min="99" max="100" width="12.54296875" bestFit="1" customWidth="1"/>
    <col min="101" max="101" width="9.6328125" bestFit="1" customWidth="1"/>
    <col min="102" max="103" width="12.54296875" bestFit="1" customWidth="1"/>
    <col min="104" max="104" width="9.6328125" bestFit="1" customWidth="1"/>
    <col min="105" max="106" width="12.54296875" bestFit="1" customWidth="1"/>
    <col min="107" max="107" width="9.6328125" bestFit="1" customWidth="1"/>
    <col min="108" max="109" width="12.54296875" bestFit="1" customWidth="1"/>
    <col min="110" max="110" width="10.6328125" bestFit="1" customWidth="1"/>
    <col min="111" max="112" width="13.6328125" bestFit="1" customWidth="1"/>
    <col min="113" max="113" width="10.7265625" bestFit="1" customWidth="1"/>
    <col min="114" max="114" width="9.6328125" bestFit="1" customWidth="1"/>
    <col min="115" max="117" width="12.54296875" bestFit="1" customWidth="1"/>
    <col min="118" max="118" width="9.6328125" bestFit="1" customWidth="1"/>
    <col min="119" max="121" width="12.54296875" bestFit="1" customWidth="1"/>
    <col min="122" max="122" width="9.6328125" bestFit="1" customWidth="1"/>
    <col min="123" max="125" width="12.54296875" bestFit="1" customWidth="1"/>
    <col min="126" max="126" width="9.6328125" bestFit="1" customWidth="1"/>
    <col min="127" max="129" width="12.54296875" bestFit="1" customWidth="1"/>
    <col min="130" max="130" width="9.6328125" bestFit="1" customWidth="1"/>
    <col min="131" max="133" width="12.54296875" bestFit="1" customWidth="1"/>
    <col min="134" max="134" width="9.6328125" bestFit="1" customWidth="1"/>
    <col min="135" max="137" width="12.54296875" bestFit="1" customWidth="1"/>
    <col min="138" max="138" width="9.6328125" bestFit="1" customWidth="1"/>
    <col min="139" max="141" width="12.54296875" bestFit="1" customWidth="1"/>
    <col min="142" max="142" width="9.6328125" bestFit="1" customWidth="1"/>
    <col min="143" max="145" width="12.54296875" bestFit="1" customWidth="1"/>
    <col min="146" max="146" width="10.6328125" bestFit="1" customWidth="1"/>
    <col min="147" max="149" width="13.6328125" bestFit="1" customWidth="1"/>
    <col min="150" max="150" width="10.7265625" bestFit="1" customWidth="1"/>
  </cols>
  <sheetData>
    <row r="1" spans="1:2" x14ac:dyDescent="0.35">
      <c r="A1" s="2" t="s">
        <v>101</v>
      </c>
      <c r="B1" t="s">
        <v>95</v>
      </c>
    </row>
    <row r="3" spans="1:2" x14ac:dyDescent="0.35">
      <c r="A3" s="2" t="s">
        <v>93</v>
      </c>
      <c r="B3" t="s">
        <v>107</v>
      </c>
    </row>
    <row r="4" spans="1:2" x14ac:dyDescent="0.35">
      <c r="A4" s="3" t="s">
        <v>22</v>
      </c>
      <c r="B4">
        <v>89501</v>
      </c>
    </row>
    <row r="5" spans="1:2" x14ac:dyDescent="0.35">
      <c r="A5" s="3" t="s">
        <v>24</v>
      </c>
      <c r="B5">
        <v>11591800</v>
      </c>
    </row>
    <row r="6" spans="1:2" x14ac:dyDescent="0.35">
      <c r="A6" s="3" t="s">
        <v>26</v>
      </c>
      <c r="B6">
        <v>433688</v>
      </c>
    </row>
    <row r="7" spans="1:2" x14ac:dyDescent="0.35">
      <c r="A7" s="3" t="s">
        <v>28</v>
      </c>
      <c r="B7">
        <v>9978200</v>
      </c>
    </row>
    <row r="8" spans="1:2" x14ac:dyDescent="0.35">
      <c r="A8" s="3" t="s">
        <v>30</v>
      </c>
      <c r="B8">
        <v>43355477</v>
      </c>
    </row>
    <row r="9" spans="1:2" x14ac:dyDescent="0.35">
      <c r="A9" s="3" t="s">
        <v>32</v>
      </c>
      <c r="B9">
        <v>271791</v>
      </c>
    </row>
    <row r="10" spans="1:2" x14ac:dyDescent="0.35">
      <c r="A10" s="3" t="s">
        <v>34</v>
      </c>
      <c r="B10">
        <v>8543467</v>
      </c>
    </row>
    <row r="11" spans="1:2" x14ac:dyDescent="0.35">
      <c r="A11" s="3" t="s">
        <v>36</v>
      </c>
      <c r="B11">
        <v>172964</v>
      </c>
    </row>
    <row r="12" spans="1:2" x14ac:dyDescent="0.35">
      <c r="A12" s="3" t="s">
        <v>38</v>
      </c>
      <c r="B12">
        <v>5306108</v>
      </c>
    </row>
    <row r="13" spans="1:2" x14ac:dyDescent="0.35">
      <c r="A13" s="3" t="s">
        <v>40</v>
      </c>
      <c r="B13">
        <v>320012</v>
      </c>
    </row>
    <row r="14" spans="1:2" x14ac:dyDescent="0.35">
      <c r="A14" s="3" t="s">
        <v>42</v>
      </c>
      <c r="B14">
        <v>17905919</v>
      </c>
    </row>
    <row r="15" spans="1:2" x14ac:dyDescent="0.35">
      <c r="A15" s="3" t="s">
        <v>44</v>
      </c>
      <c r="B15">
        <v>7866200</v>
      </c>
    </row>
    <row r="16" spans="1:2" x14ac:dyDescent="0.35">
      <c r="A16" s="3" t="s">
        <v>46</v>
      </c>
      <c r="B16">
        <v>1627867</v>
      </c>
    </row>
    <row r="17" spans="1:2" x14ac:dyDescent="0.35">
      <c r="A17" s="3" t="s">
        <v>20</v>
      </c>
      <c r="B17">
        <v>369860391</v>
      </c>
    </row>
    <row r="18" spans="1:2" x14ac:dyDescent="0.35">
      <c r="A18" s="3" t="s">
        <v>48</v>
      </c>
      <c r="B18">
        <v>3488533</v>
      </c>
    </row>
    <row r="19" spans="1:2" x14ac:dyDescent="0.35">
      <c r="A19" s="3" t="s">
        <v>50</v>
      </c>
      <c r="B19">
        <v>11976400</v>
      </c>
    </row>
    <row r="20" spans="1:2" x14ac:dyDescent="0.35">
      <c r="A20" s="3" t="s">
        <v>52</v>
      </c>
      <c r="B20">
        <v>15763400</v>
      </c>
    </row>
    <row r="21" spans="1:2" x14ac:dyDescent="0.35">
      <c r="A21" s="3" t="s">
        <v>54</v>
      </c>
      <c r="B21">
        <v>7744000</v>
      </c>
    </row>
    <row r="22" spans="1:2" x14ac:dyDescent="0.35">
      <c r="A22" s="3" t="s">
        <v>56</v>
      </c>
      <c r="B22">
        <v>69316</v>
      </c>
    </row>
    <row r="23" spans="1:2" x14ac:dyDescent="0.35">
      <c r="A23" s="3" t="s">
        <v>58</v>
      </c>
      <c r="B23">
        <v>16847</v>
      </c>
    </row>
    <row r="24" spans="1:2" x14ac:dyDescent="0.35">
      <c r="A24" s="3" t="s">
        <v>60</v>
      </c>
      <c r="B24">
        <v>25718701</v>
      </c>
    </row>
    <row r="25" spans="1:2" x14ac:dyDescent="0.35">
      <c r="A25" s="3" t="s">
        <v>62</v>
      </c>
      <c r="B25">
        <v>28739800</v>
      </c>
    </row>
    <row r="26" spans="1:2" x14ac:dyDescent="0.35">
      <c r="A26" s="3" t="s">
        <v>64</v>
      </c>
      <c r="B26">
        <v>756227</v>
      </c>
    </row>
    <row r="27" spans="1:2" x14ac:dyDescent="0.35">
      <c r="A27" s="3" t="s">
        <v>66</v>
      </c>
      <c r="B27">
        <v>970841</v>
      </c>
    </row>
    <row r="28" spans="1:2" x14ac:dyDescent="0.35">
      <c r="A28" s="3" t="s">
        <v>68</v>
      </c>
      <c r="B28">
        <v>297936</v>
      </c>
    </row>
    <row r="29" spans="1:2" x14ac:dyDescent="0.35">
      <c r="A29" s="3" t="s">
        <v>70</v>
      </c>
      <c r="B29">
        <v>606564</v>
      </c>
    </row>
    <row r="30" spans="1:2" x14ac:dyDescent="0.35">
      <c r="A30" s="3" t="s">
        <v>72</v>
      </c>
      <c r="B30">
        <v>11416133</v>
      </c>
    </row>
    <row r="31" spans="1:2" x14ac:dyDescent="0.35">
      <c r="A31" s="3" t="s">
        <v>74</v>
      </c>
      <c r="B31">
        <v>290092</v>
      </c>
    </row>
    <row r="32" spans="1:2" x14ac:dyDescent="0.35">
      <c r="A32" s="3" t="s">
        <v>76</v>
      </c>
      <c r="B32">
        <v>6612933</v>
      </c>
    </row>
    <row r="33" spans="1:2" x14ac:dyDescent="0.35">
      <c r="A33" s="3" t="s">
        <v>78</v>
      </c>
      <c r="B33">
        <v>24532800</v>
      </c>
    </row>
    <row r="34" spans="1:2" x14ac:dyDescent="0.35">
      <c r="A34" s="3" t="s">
        <v>80</v>
      </c>
      <c r="B34">
        <v>157033</v>
      </c>
    </row>
    <row r="35" spans="1:2" x14ac:dyDescent="0.35">
      <c r="A35" s="3" t="s">
        <v>82</v>
      </c>
      <c r="B35">
        <v>16237200</v>
      </c>
    </row>
    <row r="36" spans="1:2" x14ac:dyDescent="0.35">
      <c r="A36" s="3" t="s">
        <v>84</v>
      </c>
      <c r="B36">
        <v>8694400</v>
      </c>
    </row>
    <row r="37" spans="1:2" x14ac:dyDescent="0.35">
      <c r="A37" s="3" t="s">
        <v>86</v>
      </c>
      <c r="B37">
        <v>899784</v>
      </c>
    </row>
    <row r="38" spans="1:2" x14ac:dyDescent="0.35">
      <c r="A38" s="3" t="s">
        <v>88</v>
      </c>
      <c r="B38">
        <v>72355460</v>
      </c>
    </row>
    <row r="39" spans="1:2" x14ac:dyDescent="0.35">
      <c r="A39" s="3" t="s">
        <v>90</v>
      </c>
      <c r="B39">
        <v>2917200</v>
      </c>
    </row>
    <row r="40" spans="1:2" x14ac:dyDescent="0.35">
      <c r="A40" s="3" t="s">
        <v>92</v>
      </c>
      <c r="B40">
        <v>22135800</v>
      </c>
    </row>
    <row r="41" spans="1:2" x14ac:dyDescent="0.35">
      <c r="A41" s="3" t="s">
        <v>94</v>
      </c>
      <c r="B41">
        <v>739720785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EB6AB-3381-4BBC-B2FD-40368895CE92}">
  <dimension ref="A1"/>
  <sheetViews>
    <sheetView workbookViewId="0">
      <selection activeCell="D7" sqref="D7"/>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701F0-EB69-47FB-AB9D-BCD6693174EA}">
  <dimension ref="A1"/>
  <sheetViews>
    <sheetView workbookViewId="0">
      <selection activeCell="J3" sqref="J3"/>
    </sheetView>
  </sheetViews>
  <sheetFormatPr defaultRowHeight="14.5" x14ac:dyDescent="0.35"/>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B39B2-3C67-4B8D-B9C5-F12615DD995C}">
  <dimension ref="A3:D8"/>
  <sheetViews>
    <sheetView tabSelected="1" workbookViewId="0">
      <selection activeCell="G5" sqref="G5"/>
    </sheetView>
  </sheetViews>
  <sheetFormatPr defaultRowHeight="14.5" x14ac:dyDescent="0.35"/>
  <cols>
    <col min="1" max="1" width="15.08984375" customWidth="1"/>
    <col min="2" max="2" width="15.36328125" bestFit="1" customWidth="1"/>
    <col min="3" max="4" width="10.1796875" bestFit="1" customWidth="1"/>
    <col min="7" max="7" width="14.90625" bestFit="1" customWidth="1"/>
    <col min="8" max="8" width="17.26953125" bestFit="1" customWidth="1"/>
  </cols>
  <sheetData>
    <row r="3" spans="1:4" ht="29" x14ac:dyDescent="0.35">
      <c r="A3" s="6" t="s">
        <v>110</v>
      </c>
      <c r="B3" s="6" t="s">
        <v>111</v>
      </c>
      <c r="C3" s="6" t="s">
        <v>108</v>
      </c>
      <c r="D3" s="6" t="s">
        <v>109</v>
      </c>
    </row>
    <row r="4" spans="1:4" ht="29" x14ac:dyDescent="0.35">
      <c r="A4" s="7" t="s">
        <v>88</v>
      </c>
      <c r="B4" s="8">
        <v>76063663</v>
      </c>
      <c r="C4" s="8">
        <v>40241453</v>
      </c>
      <c r="D4" s="8">
        <v>35822210</v>
      </c>
    </row>
    <row r="5" spans="1:4" x14ac:dyDescent="0.35">
      <c r="A5" s="7" t="s">
        <v>30</v>
      </c>
      <c r="B5" s="8">
        <v>29981728</v>
      </c>
      <c r="C5" s="8">
        <v>16765788</v>
      </c>
      <c r="D5" s="8">
        <v>13215940</v>
      </c>
    </row>
    <row r="6" spans="1:4" ht="29" x14ac:dyDescent="0.35">
      <c r="A6" s="7" t="s">
        <v>62</v>
      </c>
      <c r="B6" s="8">
        <v>33640800</v>
      </c>
      <c r="C6" s="8">
        <v>17882467</v>
      </c>
      <c r="D6" s="8">
        <v>15758333</v>
      </c>
    </row>
    <row r="7" spans="1:4" ht="29" x14ac:dyDescent="0.35">
      <c r="A7" s="7" t="s">
        <v>60</v>
      </c>
      <c r="B7" s="8">
        <v>31730111</v>
      </c>
      <c r="C7" s="8">
        <v>16969947</v>
      </c>
      <c r="D7" s="8">
        <v>14760164</v>
      </c>
    </row>
    <row r="8" spans="1:4" ht="29" x14ac:dyDescent="0.35">
      <c r="A8" s="7" t="s">
        <v>78</v>
      </c>
      <c r="B8" s="8">
        <v>28028000</v>
      </c>
      <c r="C8" s="8">
        <v>14860200</v>
      </c>
      <c r="D8" s="8">
        <v>13167800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AFD37-E2B3-4310-8E0B-C8D3CF6087E4}">
  <dimension ref="B3:C17"/>
  <sheetViews>
    <sheetView workbookViewId="0">
      <selection activeCell="F11" sqref="F11"/>
    </sheetView>
  </sheetViews>
  <sheetFormatPr defaultRowHeight="14.5" x14ac:dyDescent="0.35"/>
  <cols>
    <col min="2" max="2" width="14.90625" bestFit="1" customWidth="1"/>
    <col min="3" max="3" width="17.26953125" bestFit="1" customWidth="1"/>
  </cols>
  <sheetData>
    <row r="3" spans="2:3" x14ac:dyDescent="0.35">
      <c r="B3" s="2" t="s">
        <v>108</v>
      </c>
      <c r="C3" t="s">
        <v>95</v>
      </c>
    </row>
    <row r="4" spans="2:3" x14ac:dyDescent="0.35">
      <c r="B4" s="2" t="s">
        <v>109</v>
      </c>
      <c r="C4" t="s">
        <v>95</v>
      </c>
    </row>
    <row r="6" spans="2:3" x14ac:dyDescent="0.35">
      <c r="B6" s="2" t="s">
        <v>93</v>
      </c>
      <c r="C6" t="s">
        <v>112</v>
      </c>
    </row>
    <row r="7" spans="2:3" x14ac:dyDescent="0.35">
      <c r="B7" s="3" t="s">
        <v>30</v>
      </c>
      <c r="C7" s="9">
        <v>29981728</v>
      </c>
    </row>
    <row r="8" spans="2:3" x14ac:dyDescent="0.35">
      <c r="B8" s="3" t="s">
        <v>60</v>
      </c>
      <c r="C8" s="9">
        <v>31730111</v>
      </c>
    </row>
    <row r="9" spans="2:3" x14ac:dyDescent="0.35">
      <c r="B9" s="3" t="s">
        <v>62</v>
      </c>
      <c r="C9" s="9">
        <v>33640800</v>
      </c>
    </row>
    <row r="10" spans="2:3" x14ac:dyDescent="0.35">
      <c r="B10" s="3" t="s">
        <v>78</v>
      </c>
      <c r="C10" s="9">
        <v>28028000</v>
      </c>
    </row>
    <row r="11" spans="2:3" x14ac:dyDescent="0.35">
      <c r="B11" s="3" t="s">
        <v>88</v>
      </c>
      <c r="C11" s="9">
        <v>76063663</v>
      </c>
    </row>
    <row r="12" spans="2:3" x14ac:dyDescent="0.35">
      <c r="B12" s="3" t="s">
        <v>94</v>
      </c>
      <c r="C12" s="9">
        <v>199444302</v>
      </c>
    </row>
    <row r="17" spans="2:3" x14ac:dyDescent="0.35">
      <c r="B17" s="3"/>
      <c r="C17" s="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C1993-BEA5-4323-9F2F-FC0EAD24885A}">
  <dimension ref="A1"/>
  <sheetViews>
    <sheetView workbookViewId="0">
      <selection activeCell="B3" sqref="B3"/>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1839F-8E7E-44AC-8740-C2390B539834}">
  <dimension ref="A1"/>
  <sheetViews>
    <sheetView topLeftCell="A22" workbookViewId="0">
      <selection activeCell="J8" sqref="J8"/>
    </sheetView>
  </sheetViews>
  <sheetFormatPr defaultRowHeight="14.5" x14ac:dyDescent="0.35"/>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5AB73-A557-40FF-A9D4-C9F6DE690BC0}">
  <dimension ref="A1"/>
  <sheetViews>
    <sheetView workbookViewId="0">
      <selection activeCell="C75" sqref="C75"/>
    </sheetView>
  </sheetViews>
  <sheetFormatPr defaultRowHeight="14.5" x14ac:dyDescent="0.35"/>
  <cols>
    <col min="1" max="16384" width="8.7265625" style="5"/>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38ABEB0-6B51-4B36-8273-8A2087EAE2D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Row_data</vt:lpstr>
      <vt:lpstr>Formated_data</vt:lpstr>
      <vt:lpstr>Overall_Population</vt:lpstr>
      <vt:lpstr>Overall_Population_Pivot</vt:lpstr>
      <vt:lpstr>Overall_Population_Slicer</vt:lpstr>
      <vt:lpstr>Overall_Population_Charts</vt:lpstr>
      <vt:lpstr>Overall_Boys_Population</vt:lpstr>
      <vt:lpstr>Overall_Boys_Population_Pivot</vt:lpstr>
      <vt:lpstr>Overall_Boys_Population_Slicer</vt:lpstr>
      <vt:lpstr>Overall_Boys_Population_Charts</vt:lpstr>
      <vt:lpstr>Overall_Girls_Population</vt:lpstr>
      <vt:lpstr>Overall_Girls_Population_Pivot</vt:lpstr>
      <vt:lpstr>Overall_Girls_Population_Slicer</vt:lpstr>
      <vt:lpstr>Overall_Girls_Population_Charts</vt:lpstr>
      <vt:lpstr>Top_5_Populated_States</vt:lpstr>
      <vt:lpstr>Top_5_Populated_States_Pivot</vt:lpstr>
      <vt:lpstr>Top_5_Populated_States_Slicer</vt:lpstr>
      <vt:lpstr>Top_5_Populated_States_Charts</vt:lpstr>
      <vt:lpstr>Final_Dashboard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sridhara panigrahy</dc:creator>
  <cp:lastModifiedBy>sridhara panigrahy</cp:lastModifiedBy>
  <dcterms:created xsi:type="dcterms:W3CDTF">2025-10-30T01:38:51Z</dcterms:created>
  <dcterms:modified xsi:type="dcterms:W3CDTF">2025-10-31T14:56:09Z</dcterms:modified>
</cp:coreProperties>
</file>