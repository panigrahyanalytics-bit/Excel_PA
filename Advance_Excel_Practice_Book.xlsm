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6.xml" ContentType="application/vnd.ms-excel.controlproperties+xml"/>
  <Override PartName="/xl/tables/table3.xml" ContentType="application/vnd.openxmlformats-officedocument.spreadsheetml.table+xml"/>
  <Override PartName="/xl/slicers/slicer2.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sridh\OneDrive\Desktop\Panigrahyanalytics\EXCEL_TUTORIAL\Excel Materials\"/>
    </mc:Choice>
  </mc:AlternateContent>
  <xr:revisionPtr revIDLastSave="0" documentId="13_ncr:1_{27096E5F-E71C-4887-8D3F-2C8CF6F8D0C3}" xr6:coauthVersionLast="47" xr6:coauthVersionMax="47" xr10:uidLastSave="{00000000-0000-0000-0000-000000000000}"/>
  <bookViews>
    <workbookView xWindow="-110" yWindow="-110" windowWidth="19420" windowHeight="10300" firstSheet="5" activeTab="8" xr2:uid="{FD8CD043-B49C-4638-B995-A14183178DE1}"/>
  </bookViews>
  <sheets>
    <sheet name="FUNCTIONS 1" sheetId="2" r:id="rId1"/>
    <sheet name="FUNCTIONS 2" sheetId="3" r:id="rId2"/>
    <sheet name="CHARTS , PIVOT TB AND PIVOT CH" sheetId="4" r:id="rId3"/>
    <sheet name="LOOKUP AND DEPENDENCY" sheetId="5" r:id="rId4"/>
    <sheet name="Sheet2" sheetId="16" r:id="rId5"/>
    <sheet name="MACRO RECORD" sheetId="6" r:id="rId6"/>
    <sheet name="export macro" sheetId="7" r:id="rId7"/>
    <sheet name="CSV to Excel and Macro" sheetId="9" r:id="rId8"/>
    <sheet name="Slicer, Macro and VBA" sheetId="14" r:id="rId9"/>
  </sheets>
  <definedNames>
    <definedName name="ExternalData_1" localSheetId="7" hidden="1">'CSV to Excel and Macro'!$A$1:$E$6</definedName>
    <definedName name="Slicer_Month">#N/A</definedName>
    <definedName name="Slicer_Product">#N/A</definedName>
  </definedNames>
  <calcPr calcId="191029"/>
  <pivotCaches>
    <pivotCache cacheId="0"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0" i="5" l="1"/>
  <c r="G29" i="5"/>
  <c r="F46" i="5"/>
  <c r="H47" i="5"/>
  <c r="J42" i="5"/>
  <c r="H41" i="5"/>
  <c r="F40" i="5"/>
  <c r="L36" i="5"/>
  <c r="H35" i="5"/>
  <c r="F34" i="5"/>
  <c r="D74" i="5"/>
  <c r="D72" i="5"/>
  <c r="E72" i="5" s="1"/>
  <c r="D73" i="5"/>
  <c r="E73" i="5" s="1"/>
  <c r="E71" i="5"/>
  <c r="E70" i="5"/>
  <c r="D71" i="5"/>
  <c r="D70" i="5"/>
  <c r="K21" i="5"/>
  <c r="J20" i="5"/>
  <c r="L19" i="5"/>
  <c r="H50" i="3"/>
  <c r="H49" i="3"/>
  <c r="H48" i="3"/>
  <c r="H47" i="3"/>
  <c r="M16" i="3"/>
  <c r="J10" i="3"/>
  <c r="M14" i="3"/>
  <c r="M12" i="3"/>
  <c r="M10" i="3"/>
  <c r="L11" i="3"/>
  <c r="L12" i="3"/>
  <c r="L13" i="3"/>
  <c r="L14" i="3"/>
  <c r="L15" i="3"/>
  <c r="L16" i="3"/>
  <c r="L17" i="3"/>
  <c r="L18" i="3"/>
  <c r="L19" i="3"/>
  <c r="L10" i="3"/>
  <c r="K10" i="3"/>
  <c r="K11" i="3"/>
  <c r="K12" i="3"/>
  <c r="K13" i="3"/>
  <c r="K14" i="3"/>
  <c r="K15" i="3"/>
  <c r="K16" i="3"/>
  <c r="K17" i="3"/>
  <c r="K18" i="3"/>
  <c r="K19" i="3"/>
  <c r="J11" i="3"/>
  <c r="J12" i="3"/>
  <c r="J13" i="3"/>
  <c r="J14" i="3"/>
  <c r="J15" i="3"/>
  <c r="J16" i="3"/>
  <c r="J17" i="3"/>
  <c r="J18" i="3"/>
  <c r="J19" i="3"/>
  <c r="I10" i="3" a="1"/>
  <c r="I10" i="3" s="1"/>
  <c r="H11" i="3" a="1"/>
  <c r="H11" i="3" s="1"/>
  <c r="H12" i="3" a="1"/>
  <c r="H12" i="3"/>
  <c r="H13" i="3" a="1"/>
  <c r="H13" i="3" s="1"/>
  <c r="H14" i="3" a="1"/>
  <c r="H14" i="3"/>
  <c r="H15" i="3" a="1"/>
  <c r="H15" i="3" s="1"/>
  <c r="H16" i="3" a="1"/>
  <c r="H16" i="3"/>
  <c r="H17" i="3" a="1"/>
  <c r="H17" i="3" s="1"/>
  <c r="H18" i="3" a="1"/>
  <c r="H18" i="3" s="1"/>
  <c r="H19" i="3" a="1"/>
  <c r="H19" i="3" s="1"/>
  <c r="H10" i="3" a="1"/>
  <c r="H10" i="3"/>
  <c r="G10" i="3" a="1"/>
  <c r="G10" i="3" s="1"/>
  <c r="A49" i="2" a="1"/>
  <c r="A49" i="2" s="1"/>
  <c r="K2" i="2" a="1"/>
  <c r="K2" i="2" s="1"/>
  <c r="K3" i="2" a="1"/>
  <c r="K3" i="2" s="1"/>
  <c r="K4" i="2" a="1"/>
  <c r="K4" i="2" s="1"/>
  <c r="K5" i="2" a="1"/>
  <c r="K5" i="2" s="1"/>
  <c r="K6" i="2" a="1"/>
  <c r="K6" i="2" s="1"/>
  <c r="K7" i="2" a="1"/>
  <c r="K7" i="2" s="1"/>
  <c r="K8" i="2" a="1"/>
  <c r="K8" i="2" s="1"/>
  <c r="K9" i="2" a="1"/>
  <c r="K9" i="2" s="1"/>
  <c r="K10" i="2" a="1"/>
  <c r="K10" i="2" s="1"/>
  <c r="K11" i="2" a="1"/>
  <c r="K11" i="2" s="1"/>
  <c r="A13" i="2"/>
  <c r="A61" i="2" a="1"/>
  <c r="A61" i="2" s="1"/>
  <c r="A47" i="2"/>
  <c r="G23" i="2"/>
  <c r="A45" i="2"/>
  <c r="A43" i="2"/>
  <c r="A41" i="2"/>
  <c r="A39" i="2"/>
  <c r="A37" i="2"/>
  <c r="A35" i="2"/>
  <c r="A33" i="2"/>
  <c r="A31" i="2"/>
  <c r="A27" i="2"/>
  <c r="A25" i="2"/>
  <c r="A23" i="2"/>
  <c r="A21" i="2"/>
  <c r="A19" i="2"/>
  <c r="A17" i="2"/>
  <c r="A15" i="2"/>
  <c r="G16" i="2"/>
  <c r="A29"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75D3C10-6333-4144-A1C8-2A827DE9F5ED}" keepAlive="1" name="Connection" type="5" refreshedVersion="0" background="1">
    <dbPr connection="Provider=Microsoft.Mashup.OleDb.1;Data Source=$Workbook$;Location=&quot;Book1 (2)&quot;;Extended Properties=&quot;&quot;" commandType="0"/>
  </connection>
  <connection id="2" xr16:uid="{0A4418F1-F996-45B1-B5AB-383EC5700318}" keepAlive="1" name="Query - Book1" description="Connection to the 'Book1' query in the workbook." type="5" refreshedVersion="8" background="1" saveData="1">
    <dbPr connection="Provider=Microsoft.Mashup.OleDb.1;Data Source=$Workbook$;Location=Book1;Extended Properties=&quot;&quot;" command="SELECT * FROM [Book1]"/>
  </connection>
  <connection id="3" xr16:uid="{9DEDF0E1-D7B9-480A-A2D8-8C294880723D}" keepAlive="1" name="Query - Book1 (2)" description="Connection to the 'Book1 (2)' query in the workbook." type="5" refreshedVersion="8" background="1">
    <dbPr connection="Provider=Microsoft.Mashup.OleDb.1;Data Source=$Workbook$;Location=&quot;Book1 (2)&quot;;Extended Properties=&quot;&quot;" command="SELECT * FROM [Book1 (2)]"/>
  </connection>
  <connection id="4" xr16:uid="{8796C987-B87E-4F11-B572-AAC7CBBA4011}" keepAlive="1" name="Query - Book2 (2)" description="Connection to the 'Book2 (2)' query in the workbook." type="5" refreshedVersion="0" background="1">
    <dbPr connection="Provider=Microsoft.Mashup.OleDb.1;Data Source=$Workbook$;Location=&quot;Book2 (2)&quot;;Extended Properties=&quot;&quot;" command="SELECT * FROM [Book2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<sst xmlns="http://schemas.openxmlformats.org/spreadsheetml/2006/main" count="544" uniqueCount="329">
  <si>
    <t>Employee ID</t>
  </si>
  <si>
    <t>E001</t>
  </si>
  <si>
    <t>Rajesh Kumar</t>
  </si>
  <si>
    <t>IT</t>
  </si>
  <si>
    <t>Software Engineer</t>
  </si>
  <si>
    <t>Male</t>
  </si>
  <si>
    <t>Bengaluru</t>
  </si>
  <si>
    <t>E002</t>
  </si>
  <si>
    <t>Priya Sharma</t>
  </si>
  <si>
    <t>HR</t>
  </si>
  <si>
    <t>HR Executive</t>
  </si>
  <si>
    <t>Female</t>
  </si>
  <si>
    <t>Pune</t>
  </si>
  <si>
    <t>E003</t>
  </si>
  <si>
    <t>Arjun Mehta</t>
  </si>
  <si>
    <t>Finance</t>
  </si>
  <si>
    <t>Accountant</t>
  </si>
  <si>
    <t>Mumbai</t>
  </si>
  <si>
    <t>E004</t>
  </si>
  <si>
    <t>Neha Patel</t>
  </si>
  <si>
    <t>Marketing</t>
  </si>
  <si>
    <t>Digital Marketer</t>
  </si>
  <si>
    <t>Delhi</t>
  </si>
  <si>
    <t>E005</t>
  </si>
  <si>
    <t>Sandeep Reddy</t>
  </si>
  <si>
    <t>Data Analyst</t>
  </si>
  <si>
    <t>Hyderabad</t>
  </si>
  <si>
    <t>E006</t>
  </si>
  <si>
    <t>Kavita Das</t>
  </si>
  <si>
    <t>Admin</t>
  </si>
  <si>
    <t>Office Assistant</t>
  </si>
  <si>
    <t>Kolkata</t>
  </si>
  <si>
    <t>E007</t>
  </si>
  <si>
    <t>Anil Verma</t>
  </si>
  <si>
    <t>Operations</t>
  </si>
  <si>
    <t>Operations Manager</t>
  </si>
  <si>
    <t>Chennai</t>
  </si>
  <si>
    <t>E008</t>
  </si>
  <si>
    <t>Sneha Nair</t>
  </si>
  <si>
    <t>UI/UX Designer</t>
  </si>
  <si>
    <t>E009</t>
  </si>
  <si>
    <t>Rohit Singh</t>
  </si>
  <si>
    <t>Sales</t>
  </si>
  <si>
    <t>Sales Executive</t>
  </si>
  <si>
    <t>Jaipur</t>
  </si>
  <si>
    <t>E010</t>
  </si>
  <si>
    <t>Recruiter</t>
  </si>
  <si>
    <t>Ahmedabad</t>
  </si>
  <si>
    <t xml:space="preserve">Meena Joshi </t>
  </si>
  <si>
    <t>Employee Name</t>
  </si>
  <si>
    <t>Employee Dept.</t>
  </si>
  <si>
    <t>Employee Designation</t>
  </si>
  <si>
    <t>Employee Age</t>
  </si>
  <si>
    <t>Employee Joining</t>
  </si>
  <si>
    <t>Employee Sal</t>
  </si>
  <si>
    <t>Employee Rank</t>
  </si>
  <si>
    <t>Employee City</t>
  </si>
  <si>
    <t>Employee Gender</t>
  </si>
  <si>
    <t>SUM SAL</t>
  </si>
  <si>
    <t>AVG. SAL</t>
  </si>
  <si>
    <t>MAX SAL</t>
  </si>
  <si>
    <t>MIN SAL</t>
  </si>
  <si>
    <t>IF</t>
  </si>
  <si>
    <t>COUNTA (FILLED CELLS)</t>
  </si>
  <si>
    <t>COUNT BLANK CELLS</t>
  </si>
  <si>
    <t>COUNT (NUMERIC CELLS)</t>
  </si>
  <si>
    <t>LEFT(STRING)</t>
  </si>
  <si>
    <t>RIGHT(STRING)</t>
  </si>
  <si>
    <t>MID(STRING)</t>
  </si>
  <si>
    <t>UPPER CASE</t>
  </si>
  <si>
    <t>LOWER CASE</t>
  </si>
  <si>
    <t>NO. OF CHAR</t>
  </si>
  <si>
    <t>CONCAT</t>
  </si>
  <si>
    <t>TEXTJOIN</t>
  </si>
  <si>
    <t>IF_ERROR</t>
  </si>
  <si>
    <t>IS_BLANK</t>
  </si>
  <si>
    <t>UNIQUE</t>
  </si>
  <si>
    <t xml:space="preserve">Employee Performance </t>
  </si>
  <si>
    <t>💹 Investment Portfolio Dataset</t>
  </si>
  <si>
    <t>Investment ID</t>
  </si>
  <si>
    <t>Product Name</t>
  </si>
  <si>
    <t>Type</t>
  </si>
  <si>
    <t>Amount Invested</t>
  </si>
  <si>
    <t>Duration (Years)</t>
  </si>
  <si>
    <t>Returns (%)</t>
  </si>
  <si>
    <t>INV001</t>
  </si>
  <si>
    <t>Alpha Growth Fund</t>
  </si>
  <si>
    <t>Mutual Fund</t>
  </si>
  <si>
    <t>INV002</t>
  </si>
  <si>
    <t>Secure Bonds Ltd</t>
  </si>
  <si>
    <t>Bonds</t>
  </si>
  <si>
    <t>INV003</t>
  </si>
  <si>
    <t>Tech Equity Shares</t>
  </si>
  <si>
    <t>Equity Shares</t>
  </si>
  <si>
    <t>INV004</t>
  </si>
  <si>
    <t>Balanced Mutual Fund</t>
  </si>
  <si>
    <t>INV005</t>
  </si>
  <si>
    <t>Government Bonds</t>
  </si>
  <si>
    <t>INV006</t>
  </si>
  <si>
    <t>Bluechip Equity Shares</t>
  </si>
  <si>
    <t>INV007</t>
  </si>
  <si>
    <t>Short-Term Mutual Fund</t>
  </si>
  <si>
    <t>INV008</t>
  </si>
  <si>
    <t>Corporate Bonds</t>
  </si>
  <si>
    <t>INV009</t>
  </si>
  <si>
    <t>Emerging Market Equity Shares</t>
  </si>
  <si>
    <t>INV010</t>
  </si>
  <si>
    <t>Fixed Deposit</t>
  </si>
  <si>
    <t>🧠 Practice Tasks</t>
  </si>
  <si>
    <t>✅ Conditional &amp; Logical Functions</t>
  </si>
  <si>
    <r>
      <t xml:space="preserve">Use </t>
    </r>
    <r>
      <rPr>
        <sz val="10"/>
        <color theme="1"/>
        <rFont val="Arial Unicode MS"/>
      </rPr>
      <t>IF()</t>
    </r>
    <r>
      <rPr>
        <sz val="11"/>
        <color theme="1"/>
        <rFont val="Calibri"/>
        <family val="2"/>
        <scheme val="minor"/>
      </rPr>
      <t xml:space="preserve"> to check if returns are greater than 12%.</t>
    </r>
  </si>
  <si>
    <r>
      <t xml:space="preserve">Use </t>
    </r>
    <r>
      <rPr>
        <sz val="10"/>
        <color theme="1"/>
        <rFont val="Arial Unicode MS"/>
      </rPr>
      <t>IFS()</t>
    </r>
    <r>
      <rPr>
        <sz val="11"/>
        <color theme="1"/>
        <rFont val="Calibri"/>
        <family val="2"/>
        <scheme val="minor"/>
      </rPr>
      <t xml:space="preserve"> to assign performance grades:</t>
    </r>
  </si>
  <si>
    <t>≥15% → "Excellent"</t>
  </si>
  <si>
    <t>12–14.9% → "Good"</t>
  </si>
  <si>
    <t>10–11.9% → "Average"</t>
  </si>
  <si>
    <t>&lt;10% → "Poor"</t>
  </si>
  <si>
    <r>
      <t xml:space="preserve">Use </t>
    </r>
    <r>
      <rPr>
        <sz val="10"/>
        <color theme="1"/>
        <rFont val="Arial Unicode MS"/>
      </rPr>
      <t>SWITCH()</t>
    </r>
    <r>
      <rPr>
        <sz val="11"/>
        <color theme="1"/>
        <rFont val="Calibri"/>
        <family val="2"/>
        <scheme val="minor"/>
      </rPr>
      <t xml:space="preserve"> to assign risk category:</t>
    </r>
  </si>
  <si>
    <t>Equity Shares → "High"</t>
  </si>
  <si>
    <t>Bonds → "Medium"</t>
  </si>
  <si>
    <t>Mutual Fund → "Low"</t>
  </si>
  <si>
    <t>Fixed Deposit → "Very Low"</t>
  </si>
  <si>
    <r>
      <t xml:space="preserve">Use </t>
    </r>
    <r>
      <rPr>
        <sz val="10"/>
        <color theme="1"/>
        <rFont val="Arial Unicode MS"/>
      </rPr>
      <t>AND()</t>
    </r>
    <r>
      <rPr>
        <sz val="11"/>
        <color theme="1"/>
        <rFont val="Calibri"/>
        <family val="2"/>
        <scheme val="minor"/>
      </rPr>
      <t xml:space="preserve"> to check if investment is in Bonds AND duration ≥ 10 years.</t>
    </r>
  </si>
  <si>
    <r>
      <t xml:space="preserve">Use </t>
    </r>
    <r>
      <rPr>
        <sz val="10"/>
        <color theme="1"/>
        <rFont val="Arial Unicode MS"/>
      </rPr>
      <t>OR()</t>
    </r>
    <r>
      <rPr>
        <sz val="11"/>
        <color theme="1"/>
        <rFont val="Calibri"/>
        <family val="2"/>
        <scheme val="minor"/>
      </rPr>
      <t xml:space="preserve"> to check if investment amount ≥ 50,000 OR returns ≥ 15%.</t>
    </r>
  </si>
  <si>
    <r>
      <t xml:space="preserve">Use </t>
    </r>
    <r>
      <rPr>
        <sz val="10"/>
        <color theme="1"/>
        <rFont val="Arial Unicode MS"/>
      </rPr>
      <t>NOT()</t>
    </r>
    <r>
      <rPr>
        <sz val="11"/>
        <color theme="1"/>
        <rFont val="Calibri"/>
        <family val="2"/>
        <scheme val="minor"/>
      </rPr>
      <t xml:space="preserve"> to exclude investments with duration = 2 years.</t>
    </r>
  </si>
  <si>
    <t>📊 Statistical Functions</t>
  </si>
  <si>
    <r>
      <t xml:space="preserve">Use </t>
    </r>
    <r>
      <rPr>
        <sz val="10"/>
        <color theme="1"/>
        <rFont val="Arial Unicode MS"/>
      </rPr>
      <t>SUMIF()</t>
    </r>
    <r>
      <rPr>
        <sz val="11"/>
        <color theme="1"/>
        <rFont val="Calibri"/>
        <family val="2"/>
        <scheme val="minor"/>
      </rPr>
      <t xml:space="preserve"> to total investments in Bonds.</t>
    </r>
  </si>
  <si>
    <r>
      <t xml:space="preserve">Use </t>
    </r>
    <r>
      <rPr>
        <sz val="10"/>
        <color theme="1"/>
        <rFont val="Arial Unicode MS"/>
      </rPr>
      <t>COUNTIF()</t>
    </r>
    <r>
      <rPr>
        <sz val="11"/>
        <color theme="1"/>
        <rFont val="Calibri"/>
        <family val="2"/>
        <scheme val="minor"/>
      </rPr>
      <t xml:space="preserve"> to count investments with returns ≥ 12%.</t>
    </r>
  </si>
  <si>
    <r>
      <t xml:space="preserve">Use </t>
    </r>
    <r>
      <rPr>
        <sz val="10"/>
        <color theme="1"/>
        <rFont val="Arial Unicode MS"/>
      </rPr>
      <t>AVERAGEIF()</t>
    </r>
    <r>
      <rPr>
        <sz val="11"/>
        <color theme="1"/>
        <rFont val="Calibri"/>
        <family val="2"/>
        <scheme val="minor"/>
      </rPr>
      <t xml:space="preserve"> to find average returns for Mutual Funds.</t>
    </r>
  </si>
  <si>
    <r>
      <t xml:space="preserve">Use </t>
    </r>
    <r>
      <rPr>
        <sz val="10"/>
        <color theme="1"/>
        <rFont val="Arial Unicode MS"/>
      </rPr>
      <t>SUMIFS()</t>
    </r>
    <r>
      <rPr>
        <sz val="11"/>
        <color theme="1"/>
        <rFont val="Calibri"/>
        <family val="2"/>
        <scheme val="minor"/>
      </rPr>
      <t xml:space="preserve"> to total investments in Mutual Funds with duration ≥ 5 years.</t>
    </r>
  </si>
  <si>
    <r>
      <t xml:space="preserve">Use </t>
    </r>
    <r>
      <rPr>
        <sz val="10"/>
        <color theme="1"/>
        <rFont val="Arial Unicode MS"/>
      </rPr>
      <t>AVERAGEIFS()</t>
    </r>
    <r>
      <rPr>
        <sz val="11"/>
        <color theme="1"/>
        <rFont val="Calibri"/>
        <family val="2"/>
        <scheme val="minor"/>
      </rPr>
      <t xml:space="preserve"> to find average returns for Fixed Deposits with amount ≥ 75,000 and duration ≤ 2 years.</t>
    </r>
  </si>
  <si>
    <r>
      <t xml:space="preserve">Use </t>
    </r>
    <r>
      <rPr>
        <sz val="10"/>
        <color theme="1"/>
        <rFont val="Arial Unicode MS"/>
      </rPr>
      <t>COUNTIFS()</t>
    </r>
    <r>
      <rPr>
        <sz val="11"/>
        <color theme="1"/>
        <rFont val="Calibri"/>
        <family val="2"/>
        <scheme val="minor"/>
      </rPr>
      <t xml:space="preserve"> to count Equity Shares with amount ≥ 25,000 and returns ≥ 15%.</t>
    </r>
  </si>
  <si>
    <r>
      <t xml:space="preserve">Use </t>
    </r>
    <r>
      <rPr>
        <sz val="10"/>
        <color theme="1"/>
        <rFont val="Arial Unicode MS"/>
      </rPr>
      <t>MAXIFS()</t>
    </r>
    <r>
      <rPr>
        <sz val="11"/>
        <color theme="1"/>
        <rFont val="Calibri"/>
        <family val="2"/>
        <scheme val="minor"/>
      </rPr>
      <t xml:space="preserve"> to find highest return among Mutual Funds.</t>
    </r>
  </si>
  <si>
    <r>
      <t xml:space="preserve">Use </t>
    </r>
    <r>
      <rPr>
        <sz val="10"/>
        <color theme="1"/>
        <rFont val="Arial Unicode MS"/>
      </rPr>
      <t>MINIFS()</t>
    </r>
    <r>
      <rPr>
        <sz val="11"/>
        <color theme="1"/>
        <rFont val="Calibri"/>
        <family val="2"/>
        <scheme val="minor"/>
      </rPr>
      <t xml:space="preserve"> to find lowest investment amount among Equity Shares with duration ≤ 3 years.</t>
    </r>
  </si>
  <si>
    <t xml:space="preserve"> </t>
  </si>
  <si>
    <t>SWITCH FUNCTION USED UNDER EMPLOYEE PERFORMANCE HEADER</t>
  </si>
  <si>
    <t>1= GOOD</t>
  </si>
  <si>
    <t>2=BETTER</t>
  </si>
  <si>
    <t>3=BEST</t>
  </si>
  <si>
    <t>4=WORST</t>
  </si>
  <si>
    <t>Advance  Functions And Charts</t>
  </si>
  <si>
    <t>Region</t>
  </si>
  <si>
    <t>Salesperson</t>
  </si>
  <si>
    <t>Product</t>
  </si>
  <si>
    <t>Units Sold</t>
  </si>
  <si>
    <t>Unit Price</t>
  </si>
  <si>
    <t>Total Sales</t>
  </si>
  <si>
    <t>Month</t>
  </si>
  <si>
    <t>North</t>
  </si>
  <si>
    <t>Alice</t>
  </si>
  <si>
    <t>Laptop</t>
  </si>
  <si>
    <t>January</t>
  </si>
  <si>
    <t>South</t>
  </si>
  <si>
    <t>Bob</t>
  </si>
  <si>
    <t>Tablet</t>
  </si>
  <si>
    <t>East</t>
  </si>
  <si>
    <t>Carol</t>
  </si>
  <si>
    <t>February</t>
  </si>
  <si>
    <t>West</t>
  </si>
  <si>
    <t>Dave</t>
  </si>
  <si>
    <t>Phone</t>
  </si>
  <si>
    <t>March</t>
  </si>
  <si>
    <t>April</t>
  </si>
  <si>
    <t>May</t>
  </si>
  <si>
    <t>📈 Section 1: Charts</t>
  </si>
  <si>
    <t>Tasks:</t>
  </si>
  <si>
    <r>
      <t>Goal:</t>
    </r>
    <r>
      <rPr>
        <sz val="11"/>
        <color theme="1"/>
        <rFont val="Calibri"/>
        <family val="2"/>
        <scheme val="minor"/>
      </rPr>
      <t xml:space="preserve"> Visualize trends and comparisons across categories.</t>
    </r>
  </si>
  <si>
    <t>📊 Section 2: Pivot Table</t>
  </si>
  <si>
    <t>Rows: Region</t>
  </si>
  <si>
    <t>Columns: Product</t>
  </si>
  <si>
    <t>Values: Sum of Total Sales</t>
  </si>
  <si>
    <t>Rows: Salesperson</t>
  </si>
  <si>
    <t>Values: Sum of Units Sold, Average of Total Sales</t>
  </si>
  <si>
    <t>Filter by Month to analyze performance in specific periods.</t>
  </si>
  <si>
    <r>
      <t>Goal:</t>
    </r>
    <r>
      <rPr>
        <sz val="11"/>
        <color theme="1"/>
        <rFont val="Calibri"/>
        <family val="2"/>
        <scheme val="minor"/>
      </rPr>
      <t xml:space="preserve"> Summarize and analyze data dynamically.</t>
    </r>
  </si>
  <si>
    <t>📉 Section 3: Pivot Charts</t>
  </si>
  <si>
    <r>
      <t>Goal:</t>
    </r>
    <r>
      <rPr>
        <sz val="11"/>
        <color theme="1"/>
        <rFont val="Calibri"/>
        <family val="2"/>
        <scheme val="minor"/>
      </rPr>
      <t xml:space="preserve"> Combine interactivity with visual insights.</t>
    </r>
  </si>
  <si>
    <t>📊 SALES PERFORMANCE</t>
  </si>
  <si>
    <t>BLANK</t>
  </si>
  <si>
    <t>RETURNS &gt;12%</t>
  </si>
  <si>
    <t>DONE</t>
  </si>
  <si>
    <t>GRADE</t>
  </si>
  <si>
    <t>DATA WITH CONDITIONAL FORMATING AND VALIDATION</t>
  </si>
  <si>
    <t>RISK</t>
  </si>
  <si>
    <t>AND ()</t>
  </si>
  <si>
    <t>OR()</t>
  </si>
  <si>
    <t>NOT ()</t>
  </si>
  <si>
    <t>TOTAL BOND INVESTMENTS</t>
  </si>
  <si>
    <t>NO. OF INVESTMENTS WITH 12+ RETURNS</t>
  </si>
  <si>
    <t>AVERAGE RETURNS FOR MUTUAL FUND</t>
  </si>
  <si>
    <t>TOTAL INVESTMENT IN MUTUAL FUND WITH 5+ YR. DURATION</t>
  </si>
  <si>
    <t>Sum of Total Sales</t>
  </si>
  <si>
    <t>Sum of Units Sold</t>
  </si>
  <si>
    <r>
      <t xml:space="preserve">1.Create a </t>
    </r>
    <r>
      <rPr>
        <b/>
        <sz val="11"/>
        <color theme="1"/>
        <rFont val="Calibri"/>
        <family val="2"/>
        <scheme val="minor"/>
      </rPr>
      <t>Column Chart</t>
    </r>
    <r>
      <rPr>
        <sz val="11"/>
        <color theme="1"/>
        <rFont val="Calibri"/>
        <family val="2"/>
        <scheme val="minor"/>
      </rPr>
      <t xml:space="preserve"> showing Total Sales by Region.</t>
    </r>
  </si>
  <si>
    <r>
      <t xml:space="preserve">2.Create a </t>
    </r>
    <r>
      <rPr>
        <b/>
        <sz val="11"/>
        <color theme="1"/>
        <rFont val="Calibri"/>
        <family val="2"/>
        <scheme val="minor"/>
      </rPr>
      <t>Line Chart</t>
    </r>
    <r>
      <rPr>
        <sz val="11"/>
        <color theme="1"/>
        <rFont val="Calibri"/>
        <family val="2"/>
        <scheme val="minor"/>
      </rPr>
      <t xml:space="preserve"> showing Total Sales over Months.</t>
    </r>
  </si>
  <si>
    <r>
      <t xml:space="preserve">3.Create a </t>
    </r>
    <r>
      <rPr>
        <b/>
        <sz val="11"/>
        <color theme="1"/>
        <rFont val="Calibri"/>
        <family val="2"/>
        <scheme val="minor"/>
      </rPr>
      <t>Pie Chart</t>
    </r>
    <r>
      <rPr>
        <sz val="11"/>
        <color theme="1"/>
        <rFont val="Calibri"/>
        <family val="2"/>
        <scheme val="minor"/>
      </rPr>
      <t xml:space="preserve"> showing Total Sales by Product.</t>
    </r>
  </si>
  <si>
    <r>
      <t xml:space="preserve">4.Create a </t>
    </r>
    <r>
      <rPr>
        <b/>
        <sz val="11"/>
        <color theme="1"/>
        <rFont val="Calibri"/>
        <family val="2"/>
        <scheme val="minor"/>
      </rPr>
      <t>Bar Chart</t>
    </r>
    <r>
      <rPr>
        <sz val="11"/>
        <color theme="1"/>
        <rFont val="Calibri"/>
        <family val="2"/>
        <scheme val="minor"/>
      </rPr>
      <t xml:space="preserve"> comparing Units Sold by Salesperson.</t>
    </r>
  </si>
  <si>
    <t>1.Create a Pivot Table with:</t>
  </si>
  <si>
    <t>2.Create another Pivot Table with:</t>
  </si>
  <si>
    <t>1.Insert a Pivot Chart from the Pivot Table showing Total Sales by Region and Product.</t>
  </si>
  <si>
    <r>
      <t xml:space="preserve">2.Use a </t>
    </r>
    <r>
      <rPr>
        <b/>
        <sz val="11"/>
        <color theme="1"/>
        <rFont val="Calibri"/>
        <family val="2"/>
        <scheme val="minor"/>
      </rPr>
      <t>Slicer</t>
    </r>
    <r>
      <rPr>
        <sz val="11"/>
        <color theme="1"/>
        <rFont val="Calibri"/>
        <family val="2"/>
        <scheme val="minor"/>
      </rPr>
      <t xml:space="preserve"> to filter by Month.</t>
    </r>
  </si>
  <si>
    <t>3.Create a Pivot Chart showing Units Sold by Salesperson with Product as a filter.</t>
  </si>
  <si>
    <t>Column Labels</t>
  </si>
  <si>
    <t>Grand Total</t>
  </si>
  <si>
    <t>Row Labels</t>
  </si>
  <si>
    <t>Average of Total Sales</t>
  </si>
  <si>
    <t>(All)</t>
  </si>
  <si>
    <t>📊 Sheet 1: Employee Directory</t>
  </si>
  <si>
    <t>EmpID</t>
  </si>
  <si>
    <t>Name</t>
  </si>
  <si>
    <t>Department</t>
  </si>
  <si>
    <t>Location</t>
  </si>
  <si>
    <t>Salary</t>
  </si>
  <si>
    <t>JoinDate</t>
  </si>
  <si>
    <t>E101</t>
  </si>
  <si>
    <t>Priya Das</t>
  </si>
  <si>
    <t>Bhubaneswar</t>
  </si>
  <si>
    <t>E102</t>
  </si>
  <si>
    <t>Rakesh Nayak</t>
  </si>
  <si>
    <t>Cuttack</t>
  </si>
  <si>
    <t>E103</t>
  </si>
  <si>
    <t>Sneha Patnaik</t>
  </si>
  <si>
    <t>Berhampur</t>
  </si>
  <si>
    <t>E104</t>
  </si>
  <si>
    <t>Amit Sahu</t>
  </si>
  <si>
    <t>E105</t>
  </si>
  <si>
    <t>Lopa Mishra</t>
  </si>
  <si>
    <t>✅ Tasks by Lookup Type</t>
  </si>
  <si>
    <t>🔍 VLOOKUP Tasks</t>
  </si>
  <si>
    <t>🔍 HLOOKUP Tasks</t>
  </si>
  <si>
    <t>Use a transposed version of the Employee Directory (EmpID as column headers).</t>
  </si>
  <si>
    <t>🔍 INDEX-MATCH Tasks</t>
  </si>
  <si>
    <t>🔍 XLOOKUP Tasks (Excel 365 or Excel 2021+)</t>
  </si>
  <si>
    <t>🔍 LOOKUP Tasks</t>
  </si>
  <si>
    <t>🧪 Bonus Challenges</t>
  </si>
  <si>
    <t>🧠 LOOKUP DATASET</t>
  </si>
  <si>
    <t>1.Find the salary of EmpID E103.</t>
  </si>
  <si>
    <t>2.Retrieve the department of EmpID E105.</t>
  </si>
  <si>
    <t>3.Get the location of the employee who joined on 2020-01-15.</t>
  </si>
  <si>
    <t>1.Find the JoinDate of E104.</t>
  </si>
  <si>
    <t>2.Get the Name of E102.</t>
  </si>
  <si>
    <t>1.Find the name of the employee with the highest salary.</t>
  </si>
  <si>
    <t>2.Retrieve the EmpID of the person who works in Finance.</t>
  </si>
  <si>
    <t>3.Get the JoinDate of the employee named "Lopa Mishra".</t>
  </si>
  <si>
    <t>1.Find the department of "Sneha Patnaik".</t>
  </si>
  <si>
    <t>2.Get the salary of the employee located in Berhampur.</t>
  </si>
  <si>
    <t>3.Return the EmpID of the employee who joined in 2021.</t>
  </si>
  <si>
    <t>2.Use LOOKUP to return the department for EmpID E104.</t>
  </si>
  <si>
    <t>TASK</t>
  </si>
  <si>
    <t>DEPENDENCY CHECK</t>
  </si>
  <si>
    <t>Revenue</t>
  </si>
  <si>
    <t>Bonus</t>
  </si>
  <si>
    <t>Pen</t>
  </si>
  <si>
    <t>Pencil</t>
  </si>
  <si>
    <t>Notebook</t>
  </si>
  <si>
    <t>✅ Tasks to Practice Dependencies</t>
  </si>
  <si>
    <t>🔍 Task 1: Trace Precedents</t>
  </si>
  <si>
    <r>
      <t xml:space="preserve">Select cell </t>
    </r>
    <r>
      <rPr>
        <sz val="10"/>
        <color theme="1"/>
        <rFont val="Arial Unicode MS"/>
      </rPr>
      <t>D2</t>
    </r>
    <r>
      <rPr>
        <sz val="11"/>
        <color theme="1"/>
        <rFont val="Calibri"/>
        <family val="2"/>
        <scheme val="minor"/>
      </rPr>
      <t xml:space="preserve"> → Click </t>
    </r>
    <r>
      <rPr>
        <b/>
        <sz val="11"/>
        <color theme="1"/>
        <rFont val="Calibri"/>
        <family val="2"/>
        <scheme val="minor"/>
      </rPr>
      <t>Formulas &gt; Trace Precedents</t>
    </r>
  </si>
  <si>
    <r>
      <t xml:space="preserve">You’ll see arrows pointing to </t>
    </r>
    <r>
      <rPr>
        <sz val="10"/>
        <color theme="1"/>
        <rFont val="Arial Unicode MS"/>
      </rPr>
      <t>B2</t>
    </r>
    <r>
      <rPr>
        <sz val="11"/>
        <color theme="1"/>
        <rFont val="Calibri"/>
        <family val="2"/>
        <scheme val="minor"/>
      </rPr>
      <t xml:space="preserve"> and </t>
    </r>
    <r>
      <rPr>
        <sz val="10"/>
        <color theme="1"/>
        <rFont val="Arial Unicode MS"/>
      </rPr>
      <t>C2</t>
    </r>
    <r>
      <rPr>
        <sz val="11"/>
        <color theme="1"/>
        <rFont val="Calibri"/>
        <family val="2"/>
        <scheme val="minor"/>
      </rPr>
      <t xml:space="preserve"> → These are inputs to the formula.</t>
    </r>
  </si>
  <si>
    <t>🔍 Task 2: Trace Dependents</t>
  </si>
  <si>
    <r>
      <t xml:space="preserve">Select cell </t>
    </r>
    <r>
      <rPr>
        <sz val="10"/>
        <color theme="1"/>
        <rFont val="Arial Unicode MS"/>
      </rPr>
      <t>B2</t>
    </r>
    <r>
      <rPr>
        <sz val="11"/>
        <color theme="1"/>
        <rFont val="Calibri"/>
        <family val="2"/>
        <scheme val="minor"/>
      </rPr>
      <t xml:space="preserve"> → Click </t>
    </r>
    <r>
      <rPr>
        <b/>
        <sz val="11"/>
        <color theme="1"/>
        <rFont val="Calibri"/>
        <family val="2"/>
        <scheme val="minor"/>
      </rPr>
      <t>Formulas &gt; Trace Dependents</t>
    </r>
  </si>
  <si>
    <r>
      <t xml:space="preserve">You’ll see arrows pointing to </t>
    </r>
    <r>
      <rPr>
        <sz val="10"/>
        <color theme="1"/>
        <rFont val="Arial Unicode MS"/>
      </rPr>
      <t>D2</t>
    </r>
    <r>
      <rPr>
        <sz val="11"/>
        <color theme="1"/>
        <rFont val="Calibri"/>
        <family val="2"/>
        <scheme val="minor"/>
      </rPr>
      <t xml:space="preserve"> → Because </t>
    </r>
    <r>
      <rPr>
        <sz val="10"/>
        <color theme="1"/>
        <rFont val="Arial Unicode MS"/>
      </rPr>
      <t>D2</t>
    </r>
    <r>
      <rPr>
        <sz val="11"/>
        <color theme="1"/>
        <rFont val="Calibri"/>
        <family val="2"/>
        <scheme val="minor"/>
      </rPr>
      <t xml:space="preserve"> uses </t>
    </r>
    <r>
      <rPr>
        <sz val="10"/>
        <color theme="1"/>
        <rFont val="Arial Unicode MS"/>
      </rPr>
      <t>B2</t>
    </r>
    <r>
      <rPr>
        <sz val="11"/>
        <color theme="1"/>
        <rFont val="Calibri"/>
        <family val="2"/>
        <scheme val="minor"/>
      </rPr>
      <t xml:space="preserve"> in its formula.</t>
    </r>
  </si>
  <si>
    <r>
      <t xml:space="preserve">🔍 Task 3: Use </t>
    </r>
    <r>
      <rPr>
        <b/>
        <sz val="10"/>
        <color theme="1"/>
        <rFont val="Arial Unicode MS"/>
      </rPr>
      <t>Ctrl + [</t>
    </r>
    <r>
      <rPr>
        <b/>
        <sz val="13.5"/>
        <color theme="1"/>
        <rFont val="Calibri"/>
        <family val="2"/>
        <scheme val="minor"/>
      </rPr>
      <t xml:space="preserve"> and </t>
    </r>
    <r>
      <rPr>
        <b/>
        <sz val="10"/>
        <color theme="1"/>
        <rFont val="Arial Unicode MS"/>
      </rPr>
      <t>Ctrl + ]</t>
    </r>
  </si>
  <si>
    <r>
      <t xml:space="preserve">Select </t>
    </r>
    <r>
      <rPr>
        <sz val="10"/>
        <color theme="1"/>
        <rFont val="Arial Unicode MS"/>
      </rPr>
      <t>D4</t>
    </r>
    <r>
      <rPr>
        <sz val="11"/>
        <color theme="1"/>
        <rFont val="Calibri"/>
        <family val="2"/>
        <scheme val="minor"/>
      </rPr>
      <t xml:space="preserve"> → Press </t>
    </r>
    <r>
      <rPr>
        <sz val="10"/>
        <color theme="1"/>
        <rFont val="Arial Unicode MS"/>
      </rPr>
      <t>Ctrl + [</t>
    </r>
    <r>
      <rPr>
        <sz val="11"/>
        <color theme="1"/>
        <rFont val="Calibri"/>
        <family val="2"/>
        <scheme val="minor"/>
      </rPr>
      <t xml:space="preserve"> → Jumps to </t>
    </r>
    <r>
      <rPr>
        <sz val="10"/>
        <color theme="1"/>
        <rFont val="Arial Unicode MS"/>
      </rPr>
      <t>B4</t>
    </r>
    <r>
      <rPr>
        <sz val="11"/>
        <color theme="1"/>
        <rFont val="Calibri"/>
        <family val="2"/>
        <scheme val="minor"/>
      </rPr>
      <t xml:space="preserve"> or </t>
    </r>
    <r>
      <rPr>
        <sz val="10"/>
        <color theme="1"/>
        <rFont val="Arial Unicode MS"/>
      </rPr>
      <t>C4</t>
    </r>
  </si>
  <si>
    <r>
      <t xml:space="preserve">Select </t>
    </r>
    <r>
      <rPr>
        <sz val="10"/>
        <color theme="1"/>
        <rFont val="Arial Unicode MS"/>
      </rPr>
      <t>C3</t>
    </r>
    <r>
      <rPr>
        <sz val="11"/>
        <color theme="1"/>
        <rFont val="Calibri"/>
        <family val="2"/>
        <scheme val="minor"/>
      </rPr>
      <t xml:space="preserve"> → Press </t>
    </r>
    <r>
      <rPr>
        <sz val="10"/>
        <color theme="1"/>
        <rFont val="Arial Unicode MS"/>
      </rPr>
      <t>Ctrl + ]</t>
    </r>
    <r>
      <rPr>
        <sz val="11"/>
        <color theme="1"/>
        <rFont val="Calibri"/>
        <family val="2"/>
        <scheme val="minor"/>
      </rPr>
      <t xml:space="preserve"> → Jumps to </t>
    </r>
    <r>
      <rPr>
        <sz val="10"/>
        <color theme="1"/>
        <rFont val="Arial Unicode MS"/>
      </rPr>
      <t>D3</t>
    </r>
  </si>
  <si>
    <t>🔍 Task 4: Modify a Precedent</t>
  </si>
  <si>
    <r>
      <t xml:space="preserve">Change </t>
    </r>
    <r>
      <rPr>
        <sz val="10"/>
        <color theme="1"/>
        <rFont val="Arial Unicode MS"/>
      </rPr>
      <t>Unit Price</t>
    </r>
    <r>
      <rPr>
        <sz val="11"/>
        <color theme="1"/>
        <rFont val="Calibri"/>
        <family val="2"/>
        <scheme val="minor"/>
      </rPr>
      <t xml:space="preserve"> of Notebook from 20 to 25 → See how </t>
    </r>
    <r>
      <rPr>
        <sz val="10"/>
        <color theme="1"/>
        <rFont val="Arial Unicode MS"/>
      </rPr>
      <t>Revenue</t>
    </r>
    <r>
      <rPr>
        <sz val="11"/>
        <color theme="1"/>
        <rFont val="Calibri"/>
        <family val="2"/>
        <scheme val="minor"/>
      </rPr>
      <t xml:space="preserve"> and </t>
    </r>
    <r>
      <rPr>
        <sz val="10"/>
        <color theme="1"/>
        <rFont val="Arial Unicode MS"/>
      </rPr>
      <t>Bonus</t>
    </r>
    <r>
      <rPr>
        <sz val="11"/>
        <color theme="1"/>
        <rFont val="Calibri"/>
        <family val="2"/>
        <scheme val="minor"/>
      </rPr>
      <t xml:space="preserve"> update automatically.</t>
    </r>
  </si>
  <si>
    <t>🧪 Bonus Challenge</t>
  </si>
  <si>
    <r>
      <t xml:space="preserve">Add a </t>
    </r>
    <r>
      <rPr>
        <b/>
        <sz val="11"/>
        <color theme="1"/>
        <rFont val="Calibri"/>
        <family val="2"/>
        <scheme val="minor"/>
      </rPr>
      <t>Total Revenue</t>
    </r>
    <r>
      <rPr>
        <sz val="11"/>
        <color theme="1"/>
        <rFont val="Calibri"/>
        <family val="2"/>
        <scheme val="minor"/>
      </rPr>
      <t xml:space="preserve"> in cell </t>
    </r>
    <r>
      <rPr>
        <sz val="10"/>
        <color theme="1"/>
        <rFont val="Arial Unicode MS"/>
      </rPr>
      <t>D5</t>
    </r>
    <r>
      <rPr>
        <sz val="11"/>
        <color theme="1"/>
        <rFont val="Calibri"/>
        <family val="2"/>
        <scheme val="minor"/>
      </rPr>
      <t xml:space="preserve">: </t>
    </r>
    <r>
      <rPr>
        <sz val="10"/>
        <color theme="1"/>
        <rFont val="Arial Unicode MS"/>
      </rPr>
      <t>=SUM(D2:D4)</t>
    </r>
  </si>
  <si>
    <r>
      <t xml:space="preserve">Use </t>
    </r>
    <r>
      <rPr>
        <b/>
        <sz val="11"/>
        <color theme="1"/>
        <rFont val="Calibri"/>
        <family val="2"/>
        <scheme val="minor"/>
      </rPr>
      <t>Trace Precedents</t>
    </r>
    <r>
      <rPr>
        <sz val="11"/>
        <color theme="1"/>
        <rFont val="Calibri"/>
        <family val="2"/>
        <scheme val="minor"/>
      </rPr>
      <t xml:space="preserve"> on </t>
    </r>
    <r>
      <rPr>
        <sz val="10"/>
        <color theme="1"/>
        <rFont val="Arial Unicode MS"/>
      </rPr>
      <t>D5</t>
    </r>
    <r>
      <rPr>
        <sz val="11"/>
        <color theme="1"/>
        <rFont val="Calibri"/>
        <family val="2"/>
        <scheme val="minor"/>
      </rPr>
      <t xml:space="preserve"> to see how it connects to all revenue cells.</t>
    </r>
  </si>
  <si>
    <t>📊 SALES SUMMARY</t>
  </si>
  <si>
    <t>NotebookS</t>
  </si>
  <si>
    <r>
      <rPr>
        <b/>
        <sz val="11"/>
        <color rgb="FF006100"/>
        <rFont val="Calibri"/>
        <family val="2"/>
        <scheme val="minor"/>
      </rPr>
      <t>"D"</t>
    </r>
    <r>
      <rPr>
        <sz val="11"/>
        <color rgb="FF006100"/>
        <rFont val="Calibri"/>
        <family val="2"/>
        <scheme val="minor"/>
      </rPr>
      <t xml:space="preserve"> CELL DEPENDS ON CELL </t>
    </r>
    <r>
      <rPr>
        <b/>
        <sz val="11"/>
        <color rgb="FF006100"/>
        <rFont val="Calibri"/>
        <family val="2"/>
        <scheme val="minor"/>
      </rPr>
      <t>"B"</t>
    </r>
    <r>
      <rPr>
        <sz val="11"/>
        <color rgb="FF006100"/>
        <rFont val="Calibri"/>
        <family val="2"/>
        <scheme val="minor"/>
      </rPr>
      <t xml:space="preserve"> AND</t>
    </r>
    <r>
      <rPr>
        <b/>
        <sz val="11"/>
        <color rgb="FF006100"/>
        <rFont val="Calibri"/>
        <family val="2"/>
        <scheme val="minor"/>
      </rPr>
      <t xml:space="preserve"> "C" </t>
    </r>
    <r>
      <rPr>
        <sz val="11"/>
        <color rgb="FF006100"/>
        <rFont val="Calibri"/>
        <family val="2"/>
        <scheme val="minor"/>
      </rPr>
      <t xml:space="preserve">AND </t>
    </r>
    <r>
      <rPr>
        <b/>
        <sz val="11"/>
        <color rgb="FF006100"/>
        <rFont val="Calibri"/>
        <family val="2"/>
        <scheme val="minor"/>
      </rPr>
      <t>"E"</t>
    </r>
    <r>
      <rPr>
        <sz val="11"/>
        <color rgb="FF006100"/>
        <rFont val="Calibri"/>
        <family val="2"/>
        <scheme val="minor"/>
      </rPr>
      <t xml:space="preserve"> CELL DEPENDS ON CELL </t>
    </r>
    <r>
      <rPr>
        <b/>
        <sz val="11"/>
        <color rgb="FF006100"/>
        <rFont val="Calibri"/>
        <family val="2"/>
        <scheme val="minor"/>
      </rPr>
      <t>"C"</t>
    </r>
  </si>
  <si>
    <t>1.Use conditional formatting to highlight employees with salaries above 55000.</t>
  </si>
  <si>
    <t>1.Use LOOKUP to find the last EmpID .</t>
  </si>
  <si>
    <t>HLOOKUP _ Employee Directory</t>
  </si>
  <si>
    <t>TOTAL REVENUE</t>
  </si>
  <si>
    <t>📋 Employee Dataset for Macro Practice</t>
  </si>
  <si>
    <t>MACROS PRACTICE</t>
  </si>
  <si>
    <t>ID</t>
  </si>
  <si>
    <t>Status</t>
  </si>
  <si>
    <t>Remarks</t>
  </si>
  <si>
    <t>Amit</t>
  </si>
  <si>
    <t>Active</t>
  </si>
  <si>
    <t>Promoted</t>
  </si>
  <si>
    <t>Bina</t>
  </si>
  <si>
    <t>Inactive</t>
  </si>
  <si>
    <t>On</t>
  </si>
  <si>
    <t>Chirag</t>
  </si>
  <si>
    <t>Transferred</t>
  </si>
  <si>
    <t>Deepa</t>
  </si>
  <si>
    <t>Top</t>
  </si>
  <si>
    <t>Esha</t>
  </si>
  <si>
    <t>E106</t>
  </si>
  <si>
    <t>Faizal</t>
  </si>
  <si>
    <t>Joined</t>
  </si>
  <si>
    <t>Join_Date</t>
  </si>
  <si>
    <t>Promoted recently</t>
  </si>
  <si>
    <t>On maternity leave</t>
  </si>
  <si>
    <t>Transferred from Delhi</t>
  </si>
  <si>
    <t>Top performer</t>
  </si>
  <si>
    <t>Resigned last  month</t>
  </si>
  <si>
    <t>Joined in Jan</t>
  </si>
  <si>
    <t>📋 Sample Employee Status Dataset</t>
  </si>
  <si>
    <t>Age</t>
  </si>
  <si>
    <t>Details</t>
  </si>
  <si>
    <t>EMP001</t>
  </si>
  <si>
    <t>last week</t>
  </si>
  <si>
    <t>Rahul Mehta</t>
  </si>
  <si>
    <t>EMP002</t>
  </si>
  <si>
    <t>sick leave</t>
  </si>
  <si>
    <t>Sneha Reddy</t>
  </si>
  <si>
    <t>EMP003</t>
  </si>
  <si>
    <t>to Mumbai</t>
  </si>
  <si>
    <t>Arjun Sethi</t>
  </si>
  <si>
    <t>EMP004</t>
  </si>
  <si>
    <t>sales achiever</t>
  </si>
  <si>
    <t>Neha Patnaik</t>
  </si>
  <si>
    <t>EMP005</t>
  </si>
  <si>
    <t>in February</t>
  </si>
  <si>
    <t>Status Update</t>
  </si>
  <si>
    <t>Top Sales Achiever</t>
  </si>
  <si>
    <t>FORMAT PAINTER</t>
  </si>
  <si>
    <t>Eraser</t>
  </si>
  <si>
    <t xml:space="preserve">I Am </t>
  </si>
  <si>
    <t>I am</t>
  </si>
  <si>
    <t>you are</t>
  </si>
  <si>
    <t>he is</t>
  </si>
  <si>
    <t>VBA_1</t>
  </si>
  <si>
    <t>SALES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</si>
</sst>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00"/>
  </numFmts>
  <fonts count="35">
    <font>
      <sz val="11"/>
      <color theme="1"/>
      <name val="Calibri"/>
      <family val="2"/>
      <scheme val="minor"/>
    </font>
    <font>
      <b/>
      <sz val="11"/>
      <color theme="0"/>
      <name val="Calibri"/>
      <family val="2"/>
      <scheme val="minor"/>
    </font>
    <font>
      <b/>
      <sz val="11"/>
      <color theme="1"/>
      <name val="Calibri"/>
      <family val="2"/>
      <scheme val="minor"/>
    </font>
    <font>
      <sz val="11"/>
      <color rgb="FF006100"/>
      <name val="Calibri"/>
      <family val="2"/>
      <scheme val="minor"/>
    </font>
    <font>
      <sz val="8"/>
      <name val="Calibri"/>
      <family val="2"/>
      <scheme val="minor"/>
    </font>
    <font>
      <b/>
      <sz val="22"/>
      <color theme="0"/>
      <name val="Calibri"/>
      <family val="2"/>
      <scheme val="minor"/>
    </font>
    <font>
      <b/>
      <sz val="20"/>
      <color theme="0"/>
      <name val="Calibri"/>
      <family val="2"/>
      <scheme val="minor"/>
    </font>
    <font>
      <sz val="10"/>
      <color theme="1"/>
      <name val="Arial Unicode MS"/>
    </font>
    <font>
      <b/>
      <sz val="13.5"/>
      <color theme="1"/>
      <name val="Calibri"/>
      <family val="2"/>
      <scheme val="minor"/>
    </font>
    <font>
      <b/>
      <sz val="12"/>
      <color theme="1"/>
      <name val="Calibri"/>
      <family val="2"/>
      <scheme val="minor"/>
    </font>
    <font>
      <b/>
      <sz val="18"/>
      <color rgb="FF0070C0"/>
      <name val="Calibri"/>
      <family val="2"/>
      <scheme val="minor"/>
    </font>
    <font>
      <sz val="11"/>
      <color theme="1"/>
      <name val="Calibri"/>
      <family val="2"/>
      <scheme val="minor"/>
    </font>
    <font>
      <sz val="11"/>
      <color rgb="FF9C5700"/>
      <name val="Calibri"/>
      <family val="2"/>
      <scheme val="minor"/>
    </font>
    <font>
      <b/>
      <sz val="11"/>
      <color rgb="FFFA7D00"/>
      <name val="Calibri"/>
      <family val="2"/>
      <scheme val="minor"/>
    </font>
    <font>
      <sz val="11"/>
      <color rgb="FFFF0000"/>
      <name val="Calibri"/>
      <family val="2"/>
      <scheme val="minor"/>
    </font>
    <font>
      <sz val="11"/>
      <color theme="0"/>
      <name val="Calibri"/>
      <family val="2"/>
      <scheme val="minor"/>
    </font>
    <font>
      <b/>
      <sz val="11"/>
      <color rgb="FF9C5700"/>
      <name val="Calibri"/>
      <family val="2"/>
      <scheme val="minor"/>
    </font>
    <font>
      <b/>
      <sz val="18"/>
      <color theme="1"/>
      <name val="Calibri"/>
      <family val="2"/>
      <scheme val="minor"/>
    </font>
    <font>
      <b/>
      <sz val="16"/>
      <color theme="1"/>
      <name val="Calibri"/>
      <family val="2"/>
      <scheme val="minor"/>
    </font>
    <font>
      <b/>
      <sz val="11"/>
      <color theme="2"/>
      <name val="Calibri"/>
      <family val="2"/>
      <scheme val="minor"/>
    </font>
    <font>
      <b/>
      <sz val="11"/>
      <color rgb="FF002060"/>
      <name val="Calibri"/>
      <family val="2"/>
      <scheme val="minor"/>
    </font>
    <font>
      <b/>
      <sz val="22"/>
      <color rgb="FF00B050"/>
      <name val="Calibri"/>
      <family val="2"/>
      <scheme val="minor"/>
    </font>
    <font>
      <b/>
      <sz val="22"/>
      <color theme="9" tint="-0.499984740745262"/>
      <name val="Calibri"/>
      <family val="2"/>
      <scheme val="minor"/>
    </font>
    <font>
      <b/>
      <sz val="10"/>
      <color theme="1"/>
      <name val="Arial Unicode MS"/>
    </font>
    <font>
      <b/>
      <sz val="11"/>
      <color rgb="FF006100"/>
      <name val="Calibri"/>
      <family val="2"/>
      <scheme val="minor"/>
    </font>
    <font>
      <sz val="16"/>
      <color theme="1"/>
      <name val="Calibri"/>
      <family val="2"/>
      <scheme val="minor"/>
    </font>
    <font>
      <sz val="11"/>
      <color rgb="FF3F3F76"/>
      <name val="Calibri"/>
      <family val="2"/>
      <scheme val="minor"/>
    </font>
    <font>
      <b/>
      <sz val="11"/>
      <color rgb="FF3F3F3F"/>
      <name val="Calibri"/>
      <family val="2"/>
      <scheme val="minor"/>
    </font>
    <font>
      <b/>
      <sz val="11"/>
      <color rgb="FF3F3F76"/>
      <name val="Calibri"/>
      <family val="2"/>
      <scheme val="minor"/>
    </font>
    <font>
      <b/>
      <sz val="24"/>
      <color theme="1"/>
      <name val="Calibri"/>
      <family val="2"/>
      <scheme val="minor"/>
    </font>
    <font>
      <sz val="10"/>
      <color theme="0"/>
      <name val="Arial Unicode MS"/>
    </font>
    <font>
      <b/>
      <sz val="14"/>
      <color theme="7"/>
      <name val="Arial Unicode MS"/>
    </font>
    <font>
      <b/>
      <sz val="14"/>
      <color theme="7"/>
      <name val="Calibri"/>
      <family val="2"/>
      <scheme val="minor"/>
    </font>
    <font>
      <sz val="11"/>
      <color rgb="FF000000"/>
      <name val="Calibri"/>
      <family val="2"/>
    </font>
    <font>
      <b/>
      <sz val="20"/>
      <color theme="1"/>
      <name val="Calibri"/>
      <family val="2"/>
      <scheme val="minor"/>
    </font>
  </fonts>
  <fills count="31">
    <fill>
      <patternFill patternType="none"/>
    </fill>
    <fill>
      <patternFill patternType="gray125"/>
    </fill>
    <fill>
      <patternFill patternType="solid">
        <fgColor theme="7" tint="0.79998168889431442"/>
        <bgColor theme="7" tint="0.79998168889431442"/>
      </patternFill>
    </fill>
    <fill>
      <patternFill patternType="solid">
        <fgColor theme="7" tint="0.59999389629810485"/>
        <bgColor theme="7" tint="0.59999389629810485"/>
      </patternFill>
    </fill>
    <fill>
      <patternFill patternType="solid">
        <fgColor theme="7"/>
        <bgColor theme="7"/>
      </patternFill>
    </fill>
    <fill>
      <patternFill patternType="solid">
        <fgColor rgb="FFC6EFCE"/>
      </patternFill>
    </fill>
    <fill>
      <patternFill patternType="solid">
        <fgColor rgb="FF00B0F0"/>
        <bgColor indexed="64"/>
      </patternFill>
    </fill>
    <fill>
      <patternFill patternType="solid">
        <fgColor rgb="FF00B050"/>
        <bgColor indexed="64"/>
      </patternFill>
    </fill>
    <fill>
      <patternFill patternType="solid">
        <fgColor rgb="FFFFC000"/>
        <bgColor indexed="64"/>
      </patternFill>
    </fill>
    <fill>
      <patternFill patternType="solid">
        <fgColor indexed="65"/>
        <bgColor theme="5"/>
      </patternFill>
    </fill>
    <fill>
      <patternFill patternType="solid">
        <fgColor rgb="FFFFEB9C"/>
      </patternFill>
    </fill>
    <fill>
      <patternFill patternType="solid">
        <fgColor rgb="FFF2F2F2"/>
      </patternFill>
    </fill>
    <fill>
      <patternFill patternType="solid">
        <fgColor rgb="FFA5A5A5"/>
      </patternFill>
    </fill>
    <fill>
      <patternFill patternType="solid">
        <fgColor theme="4" tint="0.59999389629810485"/>
        <bgColor indexed="65"/>
      </patternFill>
    </fill>
    <fill>
      <patternFill patternType="solid">
        <fgColor theme="5"/>
      </patternFill>
    </fill>
    <fill>
      <patternFill patternType="solid">
        <fgColor rgb="FFFFFF00"/>
        <bgColor indexed="64"/>
      </patternFill>
    </fill>
    <fill>
      <patternFill patternType="solid">
        <fgColor rgb="FFFF0000"/>
        <bgColor indexed="64"/>
      </patternFill>
    </fill>
    <fill>
      <patternFill patternType="solid">
        <fgColor theme="9" tint="0.39997558519241921"/>
        <bgColor indexed="64"/>
      </patternFill>
    </fill>
    <fill>
      <patternFill patternType="solid">
        <fgColor theme="9" tint="0.59999389629810485"/>
        <bgColor indexed="65"/>
      </patternFill>
    </fill>
    <fill>
      <patternFill patternType="solid">
        <fgColor rgb="FF6600FF"/>
        <bgColor indexed="64"/>
      </patternFill>
    </fill>
    <fill>
      <patternFill patternType="solid">
        <fgColor theme="4"/>
      </patternFill>
    </fill>
    <fill>
      <patternFill patternType="solid">
        <fgColor theme="7"/>
      </patternFill>
    </fill>
    <fill>
      <patternFill patternType="solid">
        <fgColor rgb="FF33CCFF"/>
        <bgColor indexed="64"/>
      </patternFill>
    </fill>
    <fill>
      <patternFill patternType="solid">
        <fgColor theme="0"/>
        <bgColor indexed="64"/>
      </patternFill>
    </fill>
    <fill>
      <patternFill patternType="solid">
        <fgColor rgb="FFFFCC99"/>
      </patternFill>
    </fill>
    <fill>
      <patternFill patternType="solid">
        <fgColor rgb="FFFFFFCC"/>
      </patternFill>
    </fill>
    <fill>
      <patternFill patternType="solid">
        <fgColor theme="7" tint="0.59999389629810485"/>
        <bgColor indexed="65"/>
      </patternFill>
    </fill>
    <fill>
      <patternFill patternType="solid">
        <fgColor theme="9"/>
      </patternFill>
    </fill>
    <fill>
      <patternFill patternType="solid">
        <fgColor rgb="FF92D050"/>
        <bgColor indexed="64"/>
      </patternFill>
    </fill>
    <fill>
      <patternFill patternType="solid">
        <fgColor theme="9"/>
        <bgColor theme="9"/>
      </patternFill>
    </fill>
    <fill>
      <patternFill patternType="solid">
        <fgColor theme="9" tint="0.79998168889431442"/>
        <bgColor theme="9" tint="0.79998168889431442"/>
      </patternFill>
    </fill>
  </fills>
  <borders count="12">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7">
    <xf numFmtId="0" fontId="0" fillId="0" borderId="0"/>
    <xf numFmtId="0" fontId="3" fillId="5" borderId="0" applyNumberFormat="0" applyBorder="0" applyAlignment="0" applyProtection="0"/>
    <xf numFmtId="0" fontId="2" fillId="0" borderId="3" applyNumberFormat="0" applyFill="0" applyAlignment="0" applyProtection="0"/>
    <xf numFmtId="0" fontId="12" fillId="10" borderId="0" applyNumberFormat="0" applyBorder="0" applyAlignment="0" applyProtection="0"/>
    <xf numFmtId="0" fontId="13" fillId="11" borderId="4" applyNumberFormat="0" applyAlignment="0" applyProtection="0"/>
    <xf numFmtId="0" fontId="1" fillId="12" borderId="5" applyNumberFormat="0" applyAlignment="0" applyProtection="0"/>
    <xf numFmtId="0" fontId="14" fillId="0" borderId="0" applyNumberFormat="0" applyFill="0" applyBorder="0" applyAlignment="0" applyProtection="0"/>
    <xf numFmtId="0" fontId="11" fillId="13" borderId="0" applyNumberFormat="0" applyBorder="0" applyAlignment="0" applyProtection="0"/>
    <xf numFmtId="0" fontId="15" fillId="14" borderId="0" applyNumberFormat="0" applyBorder="0" applyAlignment="0" applyProtection="0"/>
    <xf numFmtId="0" fontId="11" fillId="18" borderId="0" applyNumberFormat="0" applyBorder="0" applyAlignment="0" applyProtection="0"/>
    <xf numFmtId="0" fontId="15" fillId="20" borderId="0" applyNumberFormat="0" applyBorder="0" applyAlignment="0" applyProtection="0"/>
    <xf numFmtId="0" fontId="15" fillId="21" borderId="0" applyNumberFormat="0" applyBorder="0" applyAlignment="0" applyProtection="0"/>
    <xf numFmtId="0" fontId="26" fillId="24" borderId="4" applyNumberFormat="0" applyAlignment="0" applyProtection="0"/>
    <xf numFmtId="0" fontId="27" fillId="11" borderId="6" applyNumberFormat="0" applyAlignment="0" applyProtection="0"/>
    <xf numFmtId="0" fontId="11" fillId="25" borderId="8" applyNumberFormat="0" applyFont="0" applyAlignment="0" applyProtection="0"/>
    <xf numFmtId="0" fontId="11" fillId="26" borderId="0" applyNumberFormat="0" applyBorder="0" applyAlignment="0" applyProtection="0"/>
    <xf numFmtId="0" fontId="15" fillId="27" borderId="0" applyNumberFormat="0" applyBorder="0" applyAlignment="0" applyProtection="0"/>
  </cellStyleXfs>
  <cellXfs count="110">
    <xf numFmtId="0" fontId="0" fillId="0" borderId="0" xfId="0"/>
    <xf numFmtId="0" fontId="2" fillId="0" borderId="0" xfId="0" applyFont="1" applyAlignment="1">
      <alignment horizontal="center" vertical="center"/>
    </xf>
    <xf numFmtId="0" fontId="1" fillId="4" borderId="2" xfId="0" applyFont="1" applyFill="1" applyBorder="1" applyAlignment="1">
      <alignment horizontal="center" vertical="center"/>
    </xf>
    <xf numFmtId="0" fontId="3" fillId="5" borderId="0" xfId="1" applyAlignment="1">
      <alignment horizontal="center"/>
    </xf>
    <xf numFmtId="0" fontId="0" fillId="0" borderId="0" xfId="0" applyAlignment="1">
      <alignment horizontal="center"/>
    </xf>
    <xf numFmtId="0" fontId="0" fillId="0" borderId="0" xfId="0" applyAlignment="1">
      <alignment horizontal="center" vertical="center"/>
    </xf>
    <xf numFmtId="14" fontId="0" fillId="0" borderId="0" xfId="0" applyNumberFormat="1" applyAlignment="1">
      <alignment horizontal="center" vertical="center"/>
    </xf>
    <xf numFmtId="0" fontId="0" fillId="3" borderId="1" xfId="0" applyFill="1" applyBorder="1" applyAlignment="1">
      <alignment horizontal="center" vertical="center"/>
    </xf>
    <xf numFmtId="0" fontId="0" fillId="2" borderId="1" xfId="0" applyFill="1" applyBorder="1" applyAlignment="1">
      <alignment horizontal="center" vertical="center"/>
    </xf>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wrapText="1"/>
    </xf>
    <xf numFmtId="0" fontId="2" fillId="0" borderId="0" xfId="0" applyFont="1" applyAlignment="1">
      <alignment horizontal="center" vertical="center" wrapText="1"/>
    </xf>
    <xf numFmtId="164" fontId="2" fillId="0" borderId="0" xfId="0" applyNumberFormat="1" applyFont="1" applyAlignment="1">
      <alignment horizontal="center" vertical="center" wrapText="1"/>
    </xf>
    <xf numFmtId="164" fontId="0" fillId="0" borderId="0" xfId="0" applyNumberFormat="1" applyAlignment="1">
      <alignment horizontal="center"/>
    </xf>
    <xf numFmtId="164" fontId="0" fillId="0" borderId="0" xfId="0" applyNumberFormat="1" applyAlignment="1">
      <alignment horizontal="center" vertical="center"/>
    </xf>
    <xf numFmtId="164" fontId="0" fillId="0" borderId="0" xfId="0" applyNumberFormat="1" applyAlignment="1">
      <alignment horizontal="center" vertical="center" wrapText="1"/>
    </xf>
    <xf numFmtId="0" fontId="0" fillId="0" borderId="0" xfId="0" applyAlignment="1">
      <alignment horizontal="left" vertical="center"/>
    </xf>
    <xf numFmtId="0" fontId="9" fillId="0" borderId="0" xfId="0" applyFont="1" applyAlignment="1">
      <alignment horizontal="left" vertical="center"/>
    </xf>
    <xf numFmtId="0" fontId="2" fillId="5" borderId="3" xfId="2" applyFill="1" applyAlignment="1">
      <alignment horizontal="center" vertical="center" wrapText="1"/>
    </xf>
    <xf numFmtId="0" fontId="0" fillId="9" borderId="0" xfId="0" applyFill="1" applyAlignment="1">
      <alignment horizontal="center"/>
    </xf>
    <xf numFmtId="0" fontId="0" fillId="9" borderId="0" xfId="0" applyFill="1" applyAlignment="1">
      <alignment horizontal="center" vertical="center" wrapText="1"/>
    </xf>
    <xf numFmtId="0" fontId="2" fillId="9" borderId="0" xfId="0" applyFont="1" applyFill="1" applyAlignment="1">
      <alignment horizontal="center" vertical="center" wrapText="1"/>
    </xf>
    <xf numFmtId="0" fontId="15" fillId="14" borderId="0" xfId="8" applyAlignment="1">
      <alignment horizontal="center"/>
    </xf>
    <xf numFmtId="0" fontId="16" fillId="10" borderId="0" xfId="3" applyFont="1" applyAlignment="1">
      <alignment horizontal="center" vertical="center" wrapText="1"/>
    </xf>
    <xf numFmtId="0" fontId="1" fillId="12" borderId="5" xfId="5" applyAlignment="1">
      <alignment horizontal="center" vertical="center"/>
    </xf>
    <xf numFmtId="0" fontId="19" fillId="16" borderId="0" xfId="6" applyFont="1" applyFill="1" applyAlignment="1">
      <alignment horizontal="center" vertical="center"/>
    </xf>
    <xf numFmtId="0" fontId="1" fillId="12" borderId="5" xfId="5" applyAlignment="1">
      <alignment horizontal="center" vertical="center" wrapText="1"/>
    </xf>
    <xf numFmtId="0" fontId="20" fillId="17" borderId="4" xfId="4" applyFont="1" applyFill="1" applyAlignment="1">
      <alignment horizontal="center" vertical="center"/>
    </xf>
    <xf numFmtId="2" fontId="0" fillId="0" borderId="0" xfId="0" applyNumberFormat="1" applyAlignment="1">
      <alignment horizontal="center"/>
    </xf>
    <xf numFmtId="2" fontId="2" fillId="0" borderId="0" xfId="0" applyNumberFormat="1" applyFont="1" applyAlignment="1">
      <alignment horizontal="center" vertical="center" wrapText="1"/>
    </xf>
    <xf numFmtId="2" fontId="0" fillId="0" borderId="0" xfId="0" applyNumberFormat="1" applyAlignment="1">
      <alignment horizontal="center" vertical="center" wrapText="1"/>
    </xf>
    <xf numFmtId="49" fontId="2" fillId="0" borderId="0" xfId="0" applyNumberFormat="1" applyFont="1" applyAlignment="1">
      <alignment horizontal="center" vertical="center" wrapText="1"/>
    </xf>
    <xf numFmtId="49" fontId="0" fillId="0" borderId="0" xfId="0" applyNumberFormat="1" applyAlignment="1">
      <alignment horizontal="center" vertical="center" wrapText="1"/>
    </xf>
    <xf numFmtId="49" fontId="0" fillId="0" borderId="0" xfId="0" applyNumberFormat="1" applyAlignment="1">
      <alignment horizontal="center" vertical="center"/>
    </xf>
    <xf numFmtId="2" fontId="0" fillId="0" borderId="0" xfId="0" applyNumberFormat="1" applyAlignment="1">
      <alignment horizontal="center" vertical="center"/>
    </xf>
    <xf numFmtId="0" fontId="17" fillId="0" borderId="0" xfId="0" applyFont="1" applyAlignment="1">
      <alignment horizontal="left" vertical="center"/>
    </xf>
    <xf numFmtId="0" fontId="1" fillId="19" borderId="0" xfId="0" applyFont="1" applyFill="1" applyAlignment="1">
      <alignment horizontal="center" vertical="center" wrapText="1"/>
    </xf>
    <xf numFmtId="0" fontId="1" fillId="19" borderId="0" xfId="0" applyFont="1" applyFill="1" applyAlignment="1">
      <alignment horizontal="center" wrapText="1"/>
    </xf>
    <xf numFmtId="0" fontId="12" fillId="10" borderId="0" xfId="3" applyAlignment="1">
      <alignment horizontal="center"/>
    </xf>
    <xf numFmtId="0" fontId="1" fillId="12" borderId="5" xfId="5" applyAlignment="1">
      <alignment horizontal="center"/>
    </xf>
    <xf numFmtId="0" fontId="11" fillId="18" borderId="0" xfId="9" applyAlignment="1">
      <alignment horizontal="center"/>
    </xf>
    <xf numFmtId="0" fontId="0" fillId="0" borderId="0" xfId="0" pivotButton="1"/>
    <xf numFmtId="164" fontId="0" fillId="0" borderId="0" xfId="0" applyNumberFormat="1"/>
    <xf numFmtId="2" fontId="0" fillId="0" borderId="0" xfId="0" applyNumberFormat="1"/>
    <xf numFmtId="0" fontId="17" fillId="0" borderId="0" xfId="0" applyFont="1" applyAlignment="1">
      <alignment vertical="center"/>
    </xf>
    <xf numFmtId="0" fontId="8" fillId="0" borderId="0" xfId="0" applyFont="1" applyAlignment="1">
      <alignment vertical="center"/>
    </xf>
    <xf numFmtId="0" fontId="0" fillId="0" borderId="0" xfId="0" applyAlignment="1">
      <alignment horizontal="left" vertical="center" indent="1"/>
    </xf>
    <xf numFmtId="14" fontId="0" fillId="0" borderId="0" xfId="0" applyNumberFormat="1" applyAlignment="1">
      <alignment horizontal="center" vertical="center" wrapText="1"/>
    </xf>
    <xf numFmtId="14" fontId="2" fillId="0" borderId="0" xfId="0" applyNumberFormat="1" applyFont="1" applyAlignment="1">
      <alignment horizontal="center" vertical="center" wrapText="1"/>
    </xf>
    <xf numFmtId="1" fontId="2" fillId="0" borderId="0" xfId="0" applyNumberFormat="1" applyFont="1" applyAlignment="1">
      <alignment horizontal="center" vertical="center"/>
    </xf>
    <xf numFmtId="1" fontId="0" fillId="0" borderId="0" xfId="0" applyNumberFormat="1"/>
    <xf numFmtId="164" fontId="12" fillId="10" borderId="0" xfId="3" applyNumberFormat="1" applyAlignment="1">
      <alignment horizontal="center" vertical="center"/>
    </xf>
    <xf numFmtId="0" fontId="11" fillId="18" borderId="0" xfId="9" applyAlignment="1">
      <alignment horizontal="center" vertical="center"/>
    </xf>
    <xf numFmtId="0" fontId="7" fillId="0" borderId="0" xfId="0" applyFont="1" applyAlignment="1">
      <alignment horizontal="center" vertical="center" wrapText="1"/>
    </xf>
    <xf numFmtId="0" fontId="18" fillId="23" borderId="0" xfId="10" applyFont="1" applyFill="1" applyAlignment="1">
      <alignment vertical="center"/>
    </xf>
    <xf numFmtId="0" fontId="18" fillId="23" borderId="0" xfId="10" applyFont="1" applyFill="1" applyAlignment="1">
      <alignment horizontal="left" vertical="center"/>
    </xf>
    <xf numFmtId="0" fontId="25" fillId="23" borderId="0" xfId="10" applyFont="1" applyFill="1" applyAlignment="1">
      <alignment vertical="center"/>
    </xf>
    <xf numFmtId="0" fontId="24" fillId="5" borderId="0" xfId="1" applyFont="1" applyAlignment="1">
      <alignment horizontal="center" vertical="center" wrapText="1"/>
    </xf>
    <xf numFmtId="14" fontId="2" fillId="0" borderId="0" xfId="0" applyNumberFormat="1" applyFont="1" applyAlignment="1">
      <alignment horizontal="center" vertical="center"/>
    </xf>
    <xf numFmtId="14" fontId="28" fillId="24" borderId="4" xfId="12" applyNumberFormat="1" applyFont="1" applyAlignment="1">
      <alignment horizontal="center" vertical="center"/>
    </xf>
    <xf numFmtId="0" fontId="13" fillId="11" borderId="4" xfId="4" applyAlignment="1">
      <alignment horizontal="center" vertical="center"/>
    </xf>
    <xf numFmtId="164" fontId="2" fillId="25" borderId="8" xfId="14" applyNumberFormat="1" applyFont="1" applyAlignment="1">
      <alignment horizontal="center" vertical="center"/>
    </xf>
    <xf numFmtId="14" fontId="11" fillId="26" borderId="7" xfId="15" applyNumberFormat="1" applyBorder="1" applyAlignment="1">
      <alignment horizontal="center" vertical="center"/>
    </xf>
    <xf numFmtId="0" fontId="24" fillId="5" borderId="0" xfId="1" applyFont="1" applyAlignment="1">
      <alignment horizontal="center" vertical="center"/>
    </xf>
    <xf numFmtId="0" fontId="1" fillId="12" borderId="5" xfId="5"/>
    <xf numFmtId="0" fontId="1" fillId="27" borderId="0" xfId="16" applyFont="1"/>
    <xf numFmtId="0" fontId="2" fillId="0" borderId="0" xfId="0" applyFont="1"/>
    <xf numFmtId="0" fontId="27" fillId="11" borderId="6" xfId="13" applyAlignment="1">
      <alignment horizontal="center" vertical="center"/>
    </xf>
    <xf numFmtId="0" fontId="20" fillId="0" borderId="0" xfId="0" applyFont="1" applyAlignment="1">
      <alignment horizontal="center" vertical="center" wrapText="1"/>
    </xf>
    <xf numFmtId="0" fontId="0" fillId="0" borderId="0" xfId="0" applyAlignment="1">
      <alignment vertical="center" wrapText="1"/>
    </xf>
    <xf numFmtId="0" fontId="0" fillId="0" borderId="0" xfId="0" applyAlignment="1">
      <alignment horizontal="center" wrapText="1"/>
    </xf>
    <xf numFmtId="15" fontId="0" fillId="0" borderId="0" xfId="0" applyNumberFormat="1" applyAlignment="1">
      <alignment horizontal="center" vertical="center" wrapText="1"/>
    </xf>
    <xf numFmtId="0" fontId="30" fillId="28" borderId="0" xfId="0" applyFont="1" applyFill="1" applyAlignment="1">
      <alignment horizontal="center" vertical="center" wrapText="1"/>
    </xf>
    <xf numFmtId="0" fontId="15" fillId="28" borderId="0" xfId="0" applyFont="1" applyFill="1" applyAlignment="1">
      <alignment horizontal="center" vertical="center" wrapText="1"/>
    </xf>
    <xf numFmtId="15" fontId="15" fillId="28" borderId="0" xfId="0" applyNumberFormat="1" applyFont="1" applyFill="1" applyAlignment="1">
      <alignment horizontal="center" vertical="center" wrapText="1"/>
    </xf>
    <xf numFmtId="0" fontId="1" fillId="28" borderId="0" xfId="0" applyFont="1" applyFill="1" applyAlignment="1">
      <alignment horizontal="center" vertical="center" wrapText="1"/>
    </xf>
    <xf numFmtId="0" fontId="31" fillId="28" borderId="0" xfId="0" applyFont="1" applyFill="1" applyAlignment="1">
      <alignment horizontal="center" vertical="center" wrapText="1"/>
    </xf>
    <xf numFmtId="0" fontId="32" fillId="28" borderId="0" xfId="0" applyFont="1" applyFill="1" applyAlignment="1">
      <alignment horizontal="center" vertical="center" wrapText="1"/>
    </xf>
    <xf numFmtId="0" fontId="15" fillId="28" borderId="0" xfId="0" applyFont="1" applyFill="1"/>
    <xf numFmtId="0" fontId="32" fillId="28" borderId="0" xfId="0" applyFont="1" applyFill="1"/>
    <xf numFmtId="0" fontId="7" fillId="0" borderId="0" xfId="0" applyFont="1" applyAlignment="1">
      <alignment vertical="center"/>
    </xf>
    <xf numFmtId="0" fontId="15" fillId="28" borderId="0" xfId="0" applyFont="1" applyFill="1" applyAlignment="1">
      <alignment horizontal="center" vertical="center"/>
    </xf>
    <xf numFmtId="0" fontId="32" fillId="28" borderId="0" xfId="0" applyFont="1" applyFill="1" applyAlignment="1">
      <alignment vertical="center"/>
    </xf>
    <xf numFmtId="0" fontId="1" fillId="29" borderId="9" xfId="0" applyFont="1" applyFill="1" applyBorder="1" applyAlignment="1">
      <alignment horizontal="center" vertical="center"/>
    </xf>
    <xf numFmtId="0" fontId="1" fillId="29" borderId="10" xfId="0" applyFont="1" applyFill="1" applyBorder="1" applyAlignment="1">
      <alignment horizontal="center" vertical="center"/>
    </xf>
    <xf numFmtId="0" fontId="1" fillId="29" borderId="11" xfId="0" applyFont="1" applyFill="1" applyBorder="1" applyAlignment="1">
      <alignment horizontal="center" vertical="center"/>
    </xf>
    <xf numFmtId="0" fontId="0" fillId="30" borderId="9" xfId="0" applyFill="1" applyBorder="1" applyAlignment="1">
      <alignment horizontal="center" vertical="center"/>
    </xf>
    <xf numFmtId="0" fontId="0" fillId="30" borderId="10" xfId="0" applyFill="1" applyBorder="1" applyAlignment="1">
      <alignment horizontal="center" vertical="center"/>
    </xf>
    <xf numFmtId="0" fontId="0" fillId="30" borderId="11" xfId="0" applyFill="1" applyBorder="1" applyAlignment="1">
      <alignment horizontal="center" vertical="center"/>
    </xf>
    <xf numFmtId="0" fontId="0" fillId="15" borderId="0" xfId="0" applyFill="1"/>
    <xf numFmtId="0" fontId="5" fillId="6" borderId="0" xfId="0" applyFont="1" applyFill="1" applyAlignment="1">
      <alignment horizontal="center"/>
    </xf>
    <xf numFmtId="0" fontId="0" fillId="0" borderId="0" xfId="0"/>
    <xf numFmtId="0" fontId="3" fillId="5" borderId="0" xfId="1" applyAlignment="1">
      <alignment horizontal="left"/>
    </xf>
    <xf numFmtId="0" fontId="6" fillId="7" borderId="0" xfId="0" applyFont="1" applyFill="1" applyAlignment="1">
      <alignment horizontal="center"/>
    </xf>
    <xf numFmtId="0" fontId="8" fillId="0" borderId="0" xfId="0" applyFont="1" applyAlignment="1">
      <alignment horizontal="center" vertical="center"/>
    </xf>
    <xf numFmtId="0" fontId="0" fillId="0" borderId="0" xfId="0" applyAlignment="1">
      <alignment horizontal="center"/>
    </xf>
    <xf numFmtId="0" fontId="18" fillId="13" borderId="0" xfId="7" applyFont="1" applyAlignment="1">
      <alignment horizontal="center"/>
    </xf>
    <xf numFmtId="0" fontId="10" fillId="8" borderId="0" xfId="0" applyFont="1" applyFill="1" applyAlignment="1">
      <alignment horizontal="center" vertical="center"/>
    </xf>
    <xf numFmtId="0" fontId="17" fillId="15" borderId="0" xfId="0" applyFont="1" applyFill="1" applyAlignment="1">
      <alignment horizontal="center" vertical="center"/>
    </xf>
    <xf numFmtId="0" fontId="2" fillId="0" borderId="0" xfId="0" applyFont="1" applyAlignment="1">
      <alignment horizontal="center" vertical="center"/>
    </xf>
    <xf numFmtId="0" fontId="21" fillId="21" borderId="0" xfId="11" applyFont="1" applyAlignment="1">
      <alignment horizontal="center" vertical="center"/>
    </xf>
    <xf numFmtId="0" fontId="22" fillId="22" borderId="0" xfId="0" applyFont="1" applyFill="1" applyAlignment="1">
      <alignment horizontal="center" vertical="center"/>
    </xf>
    <xf numFmtId="0" fontId="3" fillId="5" borderId="0" xfId="1" applyAlignment="1">
      <alignment horizontal="center" vertical="center"/>
    </xf>
    <xf numFmtId="0" fontId="29" fillId="6" borderId="0" xfId="0" applyFont="1" applyFill="1" applyAlignment="1">
      <alignment horizontal="center" vertical="center"/>
    </xf>
    <xf numFmtId="0" fontId="0" fillId="0" borderId="0" xfId="0" applyFill="1"/>
    <xf numFmtId="0" fontId="34" fillId="0" borderId="0" xfId="0" applyFont="1" applyFill="1" applyAlignment="1">
      <alignment horizontal="center" vertical="center"/>
    </xf>
    <xf numFmtId="0" fontId="0" fillId="0" borderId="0" xfId="0" applyFill="1" applyAlignment="1">
      <alignment horizontal="center" vertical="center"/>
    </xf>
    <xf numFmtId="0" fontId="2" fillId="0" borderId="0" xfId="0" applyFont="1" applyFill="1" applyAlignment="1">
      <alignment horizontal="center" vertical="center" wrapText="1"/>
    </xf>
    <xf numFmtId="0" fontId="0" fillId="0" borderId="0" xfId="0" applyFill="1" applyAlignment="1">
      <alignment horizontal="center" vertical="center" wrapText="1"/>
    </xf>
  </cellXfs>
  <cellStyles count="17">
    <cellStyle name="40% - Accent1" xfId="7" builtinId="31"/>
    <cellStyle name="40% - Accent4" xfId="15" builtinId="43"/>
    <cellStyle name="40% - Accent6" xfId="9" builtinId="51"/>
    <cellStyle name="Accent1" xfId="10" builtinId="29"/>
    <cellStyle name="Accent2" xfId="8" builtinId="33"/>
    <cellStyle name="Accent4" xfId="11" builtinId="41"/>
    <cellStyle name="Accent6" xfId="16" builtinId="49"/>
    <cellStyle name="Calculation" xfId="4" builtinId="22"/>
    <cellStyle name="Check Cell" xfId="5" builtinId="23"/>
    <cellStyle name="Good" xfId="1" builtinId="26"/>
    <cellStyle name="Input" xfId="12" builtinId="20"/>
    <cellStyle name="Neutral" xfId="3" builtinId="28"/>
    <cellStyle name="Normal" xfId="0" builtinId="0"/>
    <cellStyle name="Note" xfId="14" builtinId="10"/>
    <cellStyle name="Output" xfId="13" builtinId="21"/>
    <cellStyle name="Total" xfId="2" builtinId="25"/>
    <cellStyle name="Warning Text" xfId="6" builtinId="11"/>
  </cellStyles>
  <dxfs count="46">
    <dxf>
      <fill>
        <patternFill patternType="none">
          <fgColor indexed="64"/>
          <bgColor indexed="65"/>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color rgb="FF006100"/>
      </font>
      <fill>
        <patternFill>
          <bgColor rgb="FFC6EFCE"/>
        </patternFill>
      </fill>
    </dxf>
    <dxf>
      <font>
        <color rgb="FF006100"/>
      </font>
      <fill>
        <patternFill>
          <bgColor rgb="FFC6EFCE"/>
        </patternFill>
      </fill>
    </dxf>
    <dxf>
      <font>
        <b val="0"/>
        <i val="0"/>
        <color rgb="FFFFFF00"/>
      </font>
      <fill>
        <patternFill>
          <bgColor rgb="FF00B0F0"/>
        </patternFill>
      </fill>
    </dxf>
    <dxf>
      <font>
        <b/>
        <i val="0"/>
        <color rgb="FFFF0000"/>
      </font>
    </dxf>
    <dxf>
      <font>
        <b/>
        <i val="0"/>
        <color rgb="FF00B050"/>
      </font>
    </dxf>
    <dxf>
      <font>
        <color rgb="FF9C0006"/>
      </font>
      <fill>
        <patternFill>
          <bgColor rgb="FFFFC7CE"/>
        </patternFill>
      </fill>
    </dxf>
    <dxf>
      <font>
        <b val="0"/>
        <i val="0"/>
        <color theme="0"/>
      </font>
      <fill>
        <patternFill>
          <bgColor theme="9" tint="-0.499984740745262"/>
        </patternFill>
      </fill>
    </dxf>
    <dxf>
      <font>
        <b val="0"/>
        <i val="0"/>
        <color rgb="FFFFFF99"/>
      </font>
      <fill>
        <patternFill>
          <bgColor rgb="FFFF6600"/>
        </patternFill>
      </fill>
    </dxf>
    <dxf>
      <font>
        <b val="0"/>
        <i val="0"/>
        <color theme="7"/>
      </font>
      <fill>
        <patternFill>
          <bgColor rgb="FF002060"/>
        </patternFill>
      </fill>
    </dxf>
    <dxf>
      <font>
        <b val="0"/>
        <i val="0"/>
        <color theme="0"/>
      </font>
      <fill>
        <patternFill>
          <bgColor rgb="FF00B0F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u val="none"/>
        <color rgb="FF33CCFF"/>
      </font>
      <numFmt numFmtId="0" formatCode="General"/>
      <fill>
        <patternFill patternType="solid">
          <bgColor theme="4" tint="-0.24994659260841701"/>
        </patternFill>
      </fill>
    </dxf>
    <dxf>
      <font>
        <color rgb="FFFFC000"/>
      </font>
    </dxf>
    <dxf>
      <font>
        <b val="0"/>
        <i val="0"/>
      </font>
      <numFmt numFmtId="0" formatCode="General"/>
      <fill>
        <patternFill patternType="solid">
          <bgColor theme="4"/>
        </patternFill>
      </fill>
    </dxf>
    <dxf>
      <font>
        <color rgb="FF9C0006"/>
      </font>
      <fill>
        <patternFill>
          <bgColor rgb="FFFFC7CE"/>
        </patternFill>
      </fill>
    </dxf>
    <dxf>
      <font>
        <b val="0"/>
        <i val="0"/>
        <color theme="0"/>
      </font>
      <numFmt numFmtId="0" formatCode="General"/>
      <fill>
        <patternFill>
          <bgColor theme="5"/>
        </patternFill>
      </fill>
    </dxf>
    <dxf>
      <font>
        <color rgb="FF9C0006"/>
      </font>
      <fill>
        <patternFill>
          <bgColor rgb="FFFFC7CE"/>
        </patternFill>
      </fill>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s>
  <tableStyles count="0" defaultTableStyle="TableStyleMedium2" defaultPivotStyle="PivotStyleLight16"/>
  <colors>
    <mruColors>
      <color rgb="FF33CCFF"/>
      <color rgb="FF6600FF"/>
      <color rgb="FFFFFF99"/>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REGION</a:t>
            </a:r>
            <a:r>
              <a:rPr lang="en-IN" baseline="0"/>
              <a:t> WISE SALES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lotArea>
      <c:layout/>
      <c:barChart>
        <c:barDir val="col"/>
        <c:grouping val="clustered"/>
        <c:varyColors val="0"/>
        <c:ser>
          <c:idx val="0"/>
          <c:order val="0"/>
          <c:tx>
            <c:strRef>
              <c:extLst>
                <c:ext xmlns:c15="http://schemas.microsoft.com/office/drawing/2012/chart" uri="{02D57815-91ED-43cb-92C2-25804820EDAC}">
                  <c15:fullRef>
                    <c15:sqref>'CHARTS , PIVOT TB AND PIVOT CH'!$A$8:$C$8</c15:sqref>
                  </c15:fullRef>
                  <c15:levelRef>
                    <c15:sqref>'CHARTS , PIVOT TB AND PIVOT CH'!$A$8</c15:sqref>
                  </c15:levelRef>
                </c:ext>
              </c:extLst>
              <c:f>'CHARTS , PIVOT TB AND PIVOT CH'!$A$8</c:f>
              <c:strCache>
                <c:ptCount val="3"/>
                <c:pt idx="0">
                  <c:v>North</c:v>
                </c:pt>
                <c:pt idx="1">
                  <c:v>Alice</c:v>
                </c:pt>
                <c:pt idx="2">
                  <c:v>Laptop</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'CHARTS , PIVOT TB AND PIVOT CH'!$D$7:$G$7</c15:sqref>
                  </c15:fullRef>
                </c:ext>
              </c:extLst>
              <c:f>'CHARTS , PIVOT TB AND PIVOT CH'!$F$7</c:f>
              <c:strCache>
                <c:ptCount val="1"/>
                <c:pt idx="0">
                  <c:v>Total Sales</c:v>
                </c:pt>
              </c:strCache>
            </c:strRef>
          </c:cat>
          <c:val>
            <c:numRef>
              <c:extLst>
                <c:ext xmlns:c15="http://schemas.microsoft.com/office/drawing/2012/chart" uri="{02D57815-91ED-43cb-92C2-25804820EDAC}">
                  <c15:fullRef>
                    <c15:sqref>'CHARTS , PIVOT TB AND PIVOT CH'!$D$8:$G$8</c15:sqref>
                  </c15:fullRef>
                </c:ext>
              </c:extLst>
              <c:f>'CHARTS , PIVOT TB AND PIVOT CH'!$F$8</c:f>
              <c:numCache>
                <c:formatCode>General</c:formatCode>
                <c:ptCount val="1"/>
                <c:pt idx="0" formatCode="&quot;₹&quot;\ #,##0.00">
                  <c:v>12000</c:v>
                </c:pt>
              </c:numCache>
            </c:numRef>
          </c:val>
          <c:extLst>
            <c:ext xmlns:c16="http://schemas.microsoft.com/office/drawing/2014/chart" uri="{C3380CC4-5D6E-409C-BE32-E72D297353CC}">
              <c16:uniqueId val="{00000000-E66B-422E-A3A7-A7B342970706}"/>
            </c:ext>
          </c:extLst>
        </c:ser>
        <c:ser>
          <c:idx val="1"/>
          <c:order val="1"/>
          <c:tx>
            <c:strRef>
              <c:extLst>
                <c:ext xmlns:c15="http://schemas.microsoft.com/office/drawing/2012/chart" uri="{02D57815-91ED-43cb-92C2-25804820EDAC}">
                  <c15:fullRef>
                    <c15:sqref>'CHARTS , PIVOT TB AND PIVOT CH'!$A$9:$C$9</c15:sqref>
                  </c15:fullRef>
                  <c15:levelRef>
                    <c15:sqref>'CHARTS , PIVOT TB AND PIVOT CH'!$A$9</c15:sqref>
                  </c15:levelRef>
                </c:ext>
              </c:extLst>
              <c:f>'CHARTS , PIVOT TB AND PIVOT CH'!$A$9</c:f>
              <c:strCache>
                <c:ptCount val="3"/>
                <c:pt idx="0">
                  <c:v>South</c:v>
                </c:pt>
                <c:pt idx="1">
                  <c:v>Bob</c:v>
                </c:pt>
                <c:pt idx="2">
                  <c:v>Tablet</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'CHARTS , PIVOT TB AND PIVOT CH'!$D$7:$G$7</c15:sqref>
                  </c15:fullRef>
                </c:ext>
              </c:extLst>
              <c:f>'CHARTS , PIVOT TB AND PIVOT CH'!$F$7</c:f>
              <c:strCache>
                <c:ptCount val="1"/>
                <c:pt idx="0">
                  <c:v>Total Sales</c:v>
                </c:pt>
              </c:strCache>
            </c:strRef>
          </c:cat>
          <c:val>
            <c:numRef>
              <c:extLst>
                <c:ext xmlns:c15="http://schemas.microsoft.com/office/drawing/2012/chart" uri="{02D57815-91ED-43cb-92C2-25804820EDAC}">
                  <c15:fullRef>
                    <c15:sqref>'CHARTS , PIVOT TB AND PIVOT CH'!$D$9:$G$9</c15:sqref>
                  </c15:fullRef>
                </c:ext>
              </c:extLst>
              <c:f>'CHARTS , PIVOT TB AND PIVOT CH'!$F$9</c:f>
              <c:numCache>
                <c:formatCode>General</c:formatCode>
                <c:ptCount val="1"/>
                <c:pt idx="0" formatCode="&quot;₹&quot;\ #,##0.00">
                  <c:v>7500</c:v>
                </c:pt>
              </c:numCache>
            </c:numRef>
          </c:val>
          <c:extLst>
            <c:ext xmlns:c16="http://schemas.microsoft.com/office/drawing/2014/chart" uri="{C3380CC4-5D6E-409C-BE32-E72D297353CC}">
              <c16:uniqueId val="{00000001-E66B-422E-A3A7-A7B342970706}"/>
            </c:ext>
          </c:extLst>
        </c:ser>
        <c:ser>
          <c:idx val="2"/>
          <c:order val="2"/>
          <c:tx>
            <c:strRef>
              <c:extLst>
                <c:ext xmlns:c15="http://schemas.microsoft.com/office/drawing/2012/chart" uri="{02D57815-91ED-43cb-92C2-25804820EDAC}">
                  <c15:fullRef>
                    <c15:sqref>'CHARTS , PIVOT TB AND PIVOT CH'!$A$10:$C$10</c15:sqref>
                  </c15:fullRef>
                  <c15:levelRef>
                    <c15:sqref>'CHARTS , PIVOT TB AND PIVOT CH'!$A$10</c15:sqref>
                  </c15:levelRef>
                </c:ext>
              </c:extLst>
              <c:f>'CHARTS , PIVOT TB AND PIVOT CH'!$A$10</c:f>
              <c:strCache>
                <c:ptCount val="3"/>
                <c:pt idx="0">
                  <c:v>East</c:v>
                </c:pt>
                <c:pt idx="1">
                  <c:v>Carol</c:v>
                </c:pt>
                <c:pt idx="2">
                  <c:v>Laptop</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'CHARTS , PIVOT TB AND PIVOT CH'!$D$7:$G$7</c15:sqref>
                  </c15:fullRef>
                </c:ext>
              </c:extLst>
              <c:f>'CHARTS , PIVOT TB AND PIVOT CH'!$F$7</c:f>
              <c:strCache>
                <c:ptCount val="1"/>
                <c:pt idx="0">
                  <c:v>Total Sales</c:v>
                </c:pt>
              </c:strCache>
            </c:strRef>
          </c:cat>
          <c:val>
            <c:numRef>
              <c:extLst>
                <c:ext xmlns:c15="http://schemas.microsoft.com/office/drawing/2012/chart" uri="{02D57815-91ED-43cb-92C2-25804820EDAC}">
                  <c15:fullRef>
                    <c15:sqref>'CHARTS , PIVOT TB AND PIVOT CH'!$D$10:$G$10</c15:sqref>
                  </c15:fullRef>
                </c:ext>
              </c:extLst>
              <c:f>'CHARTS , PIVOT TB AND PIVOT CH'!$F$10</c:f>
              <c:numCache>
                <c:formatCode>General</c:formatCode>
                <c:ptCount val="1"/>
                <c:pt idx="0" formatCode="&quot;₹&quot;\ #,##0.00">
                  <c:v>8000</c:v>
                </c:pt>
              </c:numCache>
            </c:numRef>
          </c:val>
          <c:extLst>
            <c:ext xmlns:c16="http://schemas.microsoft.com/office/drawing/2014/chart" uri="{C3380CC4-5D6E-409C-BE32-E72D297353CC}">
              <c16:uniqueId val="{00000002-E66B-422E-A3A7-A7B342970706}"/>
            </c:ext>
          </c:extLst>
        </c:ser>
        <c:ser>
          <c:idx val="3"/>
          <c:order val="3"/>
          <c:tx>
            <c:strRef>
              <c:extLst>
                <c:ext xmlns:c15="http://schemas.microsoft.com/office/drawing/2012/chart" uri="{02D57815-91ED-43cb-92C2-25804820EDAC}">
                  <c15:fullRef>
                    <c15:sqref>'CHARTS , PIVOT TB AND PIVOT CH'!$A$11:$C$11</c15:sqref>
                  </c15:fullRef>
                  <c15:levelRef>
                    <c15:sqref>'CHARTS , PIVOT TB AND PIVOT CH'!$A$11</c15:sqref>
                  </c15:levelRef>
                </c:ext>
              </c:extLst>
              <c:f>'CHARTS , PIVOT TB AND PIVOT CH'!$A$11</c:f>
              <c:strCache>
                <c:ptCount val="3"/>
                <c:pt idx="0">
                  <c:v>West</c:v>
                </c:pt>
                <c:pt idx="1">
                  <c:v>Dave</c:v>
                </c:pt>
                <c:pt idx="2">
                  <c:v>Phone</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'CHARTS , PIVOT TB AND PIVOT CH'!$D$7:$G$7</c15:sqref>
                  </c15:fullRef>
                </c:ext>
              </c:extLst>
              <c:f>'CHARTS , PIVOT TB AND PIVOT CH'!$F$7</c:f>
              <c:strCache>
                <c:ptCount val="1"/>
                <c:pt idx="0">
                  <c:v>Total Sales</c:v>
                </c:pt>
              </c:strCache>
            </c:strRef>
          </c:cat>
          <c:val>
            <c:numRef>
              <c:extLst>
                <c:ext xmlns:c15="http://schemas.microsoft.com/office/drawing/2012/chart" uri="{02D57815-91ED-43cb-92C2-25804820EDAC}">
                  <c15:fullRef>
                    <c15:sqref>'CHARTS , PIVOT TB AND PIVOT CH'!$D$11:$G$11</c15:sqref>
                  </c15:fullRef>
                </c:ext>
              </c:extLst>
              <c:f>'CHARTS , PIVOT TB AND PIVOT CH'!$F$11</c:f>
              <c:numCache>
                <c:formatCode>General</c:formatCode>
                <c:ptCount val="1"/>
                <c:pt idx="0" formatCode="&quot;₹&quot;\ #,##0.00">
                  <c:v>15000</c:v>
                </c:pt>
              </c:numCache>
            </c:numRef>
          </c:val>
          <c:extLst>
            <c:ext xmlns:c16="http://schemas.microsoft.com/office/drawing/2014/chart" uri="{C3380CC4-5D6E-409C-BE32-E72D297353CC}">
              <c16:uniqueId val="{00000003-E66B-422E-A3A7-A7B342970706}"/>
            </c:ext>
          </c:extLst>
        </c:ser>
        <c:ser>
          <c:idx val="4"/>
          <c:order val="4"/>
          <c:tx>
            <c:strRef>
              <c:extLst>
                <c:ext xmlns:c15="http://schemas.microsoft.com/office/drawing/2012/chart" uri="{02D57815-91ED-43cb-92C2-25804820EDAC}">
                  <c15:fullRef>
                    <c15:sqref>'CHARTS , PIVOT TB AND PIVOT CH'!$A$12:$C$12</c15:sqref>
                  </c15:fullRef>
                  <c15:levelRef>
                    <c15:sqref>'CHARTS , PIVOT TB AND PIVOT CH'!$A$12</c15:sqref>
                  </c15:levelRef>
                </c:ext>
              </c:extLst>
              <c:f>'CHARTS , PIVOT TB AND PIVOT CH'!$A$12</c:f>
              <c:strCache>
                <c:ptCount val="3"/>
                <c:pt idx="0">
                  <c:v>North</c:v>
                </c:pt>
                <c:pt idx="1">
                  <c:v>Alice</c:v>
                </c:pt>
                <c:pt idx="2">
                  <c:v>Tablet</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'CHARTS , PIVOT TB AND PIVOT CH'!$D$7:$G$7</c15:sqref>
                  </c15:fullRef>
                </c:ext>
              </c:extLst>
              <c:f>'CHARTS , PIVOT TB AND PIVOT CH'!$F$7</c:f>
              <c:strCache>
                <c:ptCount val="1"/>
                <c:pt idx="0">
                  <c:v>Total Sales</c:v>
                </c:pt>
              </c:strCache>
            </c:strRef>
          </c:cat>
          <c:val>
            <c:numRef>
              <c:extLst>
                <c:ext xmlns:c15="http://schemas.microsoft.com/office/drawing/2012/chart" uri="{02D57815-91ED-43cb-92C2-25804820EDAC}">
                  <c15:fullRef>
                    <c15:sqref>'CHARTS , PIVOT TB AND PIVOT CH'!$D$12:$G$12</c15:sqref>
                  </c15:fullRef>
                </c:ext>
              </c:extLst>
              <c:f>'CHARTS , PIVOT TB AND PIVOT CH'!$F$12</c:f>
              <c:numCache>
                <c:formatCode>General</c:formatCode>
                <c:ptCount val="1"/>
                <c:pt idx="0" formatCode="&quot;₹&quot;\ #,##0.00">
                  <c:v>6000</c:v>
                </c:pt>
              </c:numCache>
            </c:numRef>
          </c:val>
          <c:extLst>
            <c:ext xmlns:c16="http://schemas.microsoft.com/office/drawing/2014/chart" uri="{C3380CC4-5D6E-409C-BE32-E72D297353CC}">
              <c16:uniqueId val="{00000004-E66B-422E-A3A7-A7B342970706}"/>
            </c:ext>
          </c:extLst>
        </c:ser>
        <c:ser>
          <c:idx val="5"/>
          <c:order val="5"/>
          <c:tx>
            <c:strRef>
              <c:extLst>
                <c:ext xmlns:c15="http://schemas.microsoft.com/office/drawing/2012/chart" uri="{02D57815-91ED-43cb-92C2-25804820EDAC}">
                  <c15:fullRef>
                    <c15:sqref>'CHARTS , PIVOT TB AND PIVOT CH'!$A$13:$C$13</c15:sqref>
                  </c15:fullRef>
                  <c15:levelRef>
                    <c15:sqref>'CHARTS , PIVOT TB AND PIVOT CH'!$A$13</c15:sqref>
                  </c15:levelRef>
                </c:ext>
              </c:extLst>
              <c:f>'CHARTS , PIVOT TB AND PIVOT CH'!$A$13</c:f>
              <c:strCache>
                <c:ptCount val="3"/>
                <c:pt idx="0">
                  <c:v>South</c:v>
                </c:pt>
                <c:pt idx="1">
                  <c:v>Bob</c:v>
                </c:pt>
                <c:pt idx="2">
                  <c:v>Phone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'CHARTS , PIVOT TB AND PIVOT CH'!$D$7:$G$7</c15:sqref>
                  </c15:fullRef>
                </c:ext>
              </c:extLst>
              <c:f>'CHARTS , PIVOT TB AND PIVOT CH'!$F$7</c:f>
              <c:strCache>
                <c:ptCount val="1"/>
                <c:pt idx="0">
                  <c:v>Total Sales</c:v>
                </c:pt>
              </c:strCache>
            </c:strRef>
          </c:cat>
          <c:val>
            <c:numRef>
              <c:extLst>
                <c:ext xmlns:c15="http://schemas.microsoft.com/office/drawing/2012/chart" uri="{02D57815-91ED-43cb-92C2-25804820EDAC}">
                  <c15:fullRef>
                    <c15:sqref>'CHARTS , PIVOT TB AND PIVOT CH'!$D$13:$G$13</c15:sqref>
                  </c15:fullRef>
                </c:ext>
              </c:extLst>
              <c:f>'CHARTS , PIVOT TB AND PIVOT CH'!$F$13</c:f>
              <c:numCache>
                <c:formatCode>General</c:formatCode>
                <c:ptCount val="1"/>
                <c:pt idx="0" formatCode="&quot;₹&quot;\ #,##0.00">
                  <c:v>9000</c:v>
                </c:pt>
              </c:numCache>
            </c:numRef>
          </c:val>
          <c:extLst>
            <c:ext xmlns:c16="http://schemas.microsoft.com/office/drawing/2014/chart" uri="{C3380CC4-5D6E-409C-BE32-E72D297353CC}">
              <c16:uniqueId val="{00000005-E66B-422E-A3A7-A7B342970706}"/>
            </c:ext>
          </c:extLst>
        </c:ser>
        <c:ser>
          <c:idx val="6"/>
          <c:order val="6"/>
          <c:tx>
            <c:strRef>
              <c:extLst>
                <c:ext xmlns:c15="http://schemas.microsoft.com/office/drawing/2012/chart" uri="{02D57815-91ED-43cb-92C2-25804820EDAC}">
                  <c15:fullRef>
                    <c15:sqref>'CHARTS , PIVOT TB AND PIVOT CH'!$A$14:$C$14</c15:sqref>
                  </c15:fullRef>
                  <c15:levelRef>
                    <c15:sqref>'CHARTS , PIVOT TB AND PIVOT CH'!$A$14</c15:sqref>
                  </c15:levelRef>
                </c:ext>
              </c:extLst>
              <c:f>'CHARTS , PIVOT TB AND PIVOT CH'!$A$14</c:f>
              <c:strCache>
                <c:ptCount val="3"/>
                <c:pt idx="0">
                  <c:v>East</c:v>
                </c:pt>
                <c:pt idx="1">
                  <c:v>Carol</c:v>
                </c:pt>
                <c:pt idx="2">
                  <c:v>Laptop</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'CHARTS , PIVOT TB AND PIVOT CH'!$D$7:$G$7</c15:sqref>
                  </c15:fullRef>
                </c:ext>
              </c:extLst>
              <c:f>'CHARTS , PIVOT TB AND PIVOT CH'!$F$7</c:f>
              <c:strCache>
                <c:ptCount val="1"/>
                <c:pt idx="0">
                  <c:v>Total Sales</c:v>
                </c:pt>
              </c:strCache>
            </c:strRef>
          </c:cat>
          <c:val>
            <c:numRef>
              <c:extLst>
                <c:ext xmlns:c15="http://schemas.microsoft.com/office/drawing/2012/chart" uri="{02D57815-91ED-43cb-92C2-25804820EDAC}">
                  <c15:fullRef>
                    <c15:sqref>'CHARTS , PIVOT TB AND PIVOT CH'!$D$14:$G$14</c15:sqref>
                  </c15:fullRef>
                </c:ext>
              </c:extLst>
              <c:f>'CHARTS , PIVOT TB AND PIVOT CH'!$F$14</c:f>
              <c:numCache>
                <c:formatCode>General</c:formatCode>
                <c:ptCount val="1"/>
                <c:pt idx="0" formatCode="&quot;₹&quot;\ #,##0.00">
                  <c:v>9600</c:v>
                </c:pt>
              </c:numCache>
            </c:numRef>
          </c:val>
          <c:extLst>
            <c:ext xmlns:c16="http://schemas.microsoft.com/office/drawing/2014/chart" uri="{C3380CC4-5D6E-409C-BE32-E72D297353CC}">
              <c16:uniqueId val="{00000006-E66B-422E-A3A7-A7B342970706}"/>
            </c:ext>
          </c:extLst>
        </c:ser>
        <c:ser>
          <c:idx val="7"/>
          <c:order val="7"/>
          <c:tx>
            <c:strRef>
              <c:extLst>
                <c:ext xmlns:c15="http://schemas.microsoft.com/office/drawing/2012/chart" uri="{02D57815-91ED-43cb-92C2-25804820EDAC}">
                  <c15:fullRef>
                    <c15:sqref>'CHARTS , PIVOT TB AND PIVOT CH'!$A$15:$C$15</c15:sqref>
                  </c15:fullRef>
                  <c15:levelRef>
                    <c15:sqref>'CHARTS , PIVOT TB AND PIVOT CH'!$A$15</c15:sqref>
                  </c15:levelRef>
                </c:ext>
              </c:extLst>
              <c:f>'CHARTS , PIVOT TB AND PIVOT CH'!$A$15</c:f>
              <c:strCache>
                <c:ptCount val="3"/>
                <c:pt idx="0">
                  <c:v>West</c:v>
                </c:pt>
                <c:pt idx="1">
                  <c:v>Dave</c:v>
                </c:pt>
                <c:pt idx="2">
                  <c:v>Tablet</c:v>
                </c:pt>
              </c:strCache>
            </c:strRef>
          </c:tx>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'CHARTS , PIVOT TB AND PIVOT CH'!$D$7:$G$7</c15:sqref>
                  </c15:fullRef>
                </c:ext>
              </c:extLst>
              <c:f>'CHARTS , PIVOT TB AND PIVOT CH'!$F$7</c:f>
              <c:strCache>
                <c:ptCount val="1"/>
                <c:pt idx="0">
                  <c:v>Total Sales</c:v>
                </c:pt>
              </c:strCache>
            </c:strRef>
          </c:cat>
          <c:val>
            <c:numRef>
              <c:extLst>
                <c:ext xmlns:c15="http://schemas.microsoft.com/office/drawing/2012/chart" uri="{02D57815-91ED-43cb-92C2-25804820EDAC}">
                  <c15:fullRef>
                    <c15:sqref>'CHARTS , PIVOT TB AND PIVOT CH'!$D$15:$G$15</c15:sqref>
                  </c15:fullRef>
                </c:ext>
              </c:extLst>
              <c:f>'CHARTS , PIVOT TB AND PIVOT CH'!$F$15</c:f>
              <c:numCache>
                <c:formatCode>General</c:formatCode>
                <c:ptCount val="1"/>
                <c:pt idx="0" formatCode="&quot;₹&quot;\ #,##0.00">
                  <c:v>6600</c:v>
                </c:pt>
              </c:numCache>
            </c:numRef>
          </c:val>
          <c:extLst>
            <c:ext xmlns:c16="http://schemas.microsoft.com/office/drawing/2014/chart" uri="{C3380CC4-5D6E-409C-BE32-E72D297353CC}">
              <c16:uniqueId val="{00000007-E66B-422E-A3A7-A7B342970706}"/>
            </c:ext>
          </c:extLst>
        </c:ser>
        <c:ser>
          <c:idx val="8"/>
          <c:order val="8"/>
          <c:tx>
            <c:strRef>
              <c:extLst>
                <c:ext xmlns:c15="http://schemas.microsoft.com/office/drawing/2012/chart" uri="{02D57815-91ED-43cb-92C2-25804820EDAC}">
                  <c15:fullRef>
                    <c15:sqref>'CHARTS , PIVOT TB AND PIVOT CH'!$A$16:$C$16</c15:sqref>
                  </c15:fullRef>
                  <c15:levelRef>
                    <c15:sqref>'CHARTS , PIVOT TB AND PIVOT CH'!$A$16</c15:sqref>
                  </c15:levelRef>
                </c:ext>
              </c:extLst>
              <c:f>'CHARTS , PIVOT TB AND PIVOT CH'!$A$16</c:f>
              <c:strCache>
                <c:ptCount val="3"/>
                <c:pt idx="0">
                  <c:v>North</c:v>
                </c:pt>
                <c:pt idx="1">
                  <c:v>Alice</c:v>
                </c:pt>
                <c:pt idx="2">
                  <c:v>Phone</c:v>
                </c:pt>
              </c:strCache>
            </c:strRef>
          </c:tx>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'CHARTS , PIVOT TB AND PIVOT CH'!$D$7:$G$7</c15:sqref>
                  </c15:fullRef>
                </c:ext>
              </c:extLst>
              <c:f>'CHARTS , PIVOT TB AND PIVOT CH'!$F$7</c:f>
              <c:strCache>
                <c:ptCount val="1"/>
                <c:pt idx="0">
                  <c:v>Total Sales</c:v>
                </c:pt>
              </c:strCache>
            </c:strRef>
          </c:cat>
          <c:val>
            <c:numRef>
              <c:extLst>
                <c:ext xmlns:c15="http://schemas.microsoft.com/office/drawing/2012/chart" uri="{02D57815-91ED-43cb-92C2-25804820EDAC}">
                  <c15:fullRef>
                    <c15:sqref>'CHARTS , PIVOT TB AND PIVOT CH'!$D$16:$G$16</c15:sqref>
                  </c15:fullRef>
                </c:ext>
              </c:extLst>
              <c:f>'CHARTS , PIVOT TB AND PIVOT CH'!$F$16</c:f>
              <c:numCache>
                <c:formatCode>General</c:formatCode>
                <c:ptCount val="1"/>
                <c:pt idx="0" formatCode="&quot;₹&quot;\ #,##0.00">
                  <c:v>12500</c:v>
                </c:pt>
              </c:numCache>
            </c:numRef>
          </c:val>
          <c:extLst>
            <c:ext xmlns:c16="http://schemas.microsoft.com/office/drawing/2014/chart" uri="{C3380CC4-5D6E-409C-BE32-E72D297353CC}">
              <c16:uniqueId val="{00000008-E66B-422E-A3A7-A7B342970706}"/>
            </c:ext>
          </c:extLst>
        </c:ser>
        <c:ser>
          <c:idx val="9"/>
          <c:order val="9"/>
          <c:tx>
            <c:strRef>
              <c:extLst>
                <c:ext xmlns:c15="http://schemas.microsoft.com/office/drawing/2012/chart" uri="{02D57815-91ED-43cb-92C2-25804820EDAC}">
                  <c15:fullRef>
                    <c15:sqref>'CHARTS , PIVOT TB AND PIVOT CH'!$A$17:$C$17</c15:sqref>
                  </c15:fullRef>
                  <c15:levelRef>
                    <c15:sqref>'CHARTS , PIVOT TB AND PIVOT CH'!$A$17</c15:sqref>
                  </c15:levelRef>
                </c:ext>
              </c:extLst>
              <c:f>'CHARTS , PIVOT TB AND PIVOT CH'!$A$17</c:f>
              <c:strCache>
                <c:ptCount val="3"/>
                <c:pt idx="0">
                  <c:v>South</c:v>
                </c:pt>
                <c:pt idx="1">
                  <c:v>Bob</c:v>
                </c:pt>
                <c:pt idx="2">
                  <c:v>Laptop</c:v>
                </c:pt>
              </c:strCache>
            </c:strRef>
          </c:tx>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extLst>
                <c:ext xmlns:c15="http://schemas.microsoft.com/office/drawing/2012/chart" uri="{02D57815-91ED-43cb-92C2-25804820EDAC}">
                  <c15:fullRef>
                    <c15:sqref>'CHARTS , PIVOT TB AND PIVOT CH'!$D$7:$G$7</c15:sqref>
                  </c15:fullRef>
                </c:ext>
              </c:extLst>
              <c:f>'CHARTS , PIVOT TB AND PIVOT CH'!$F$7</c:f>
              <c:strCache>
                <c:ptCount val="1"/>
                <c:pt idx="0">
                  <c:v>Total Sales</c:v>
                </c:pt>
              </c:strCache>
            </c:strRef>
          </c:cat>
          <c:val>
            <c:numRef>
              <c:extLst>
                <c:ext xmlns:c15="http://schemas.microsoft.com/office/drawing/2012/chart" uri="{02D57815-91ED-43cb-92C2-25804820EDAC}">
                  <c15:fullRef>
                    <c15:sqref>'CHARTS , PIVOT TB AND PIVOT CH'!$D$17:$G$17</c15:sqref>
                  </c15:fullRef>
                </c:ext>
              </c:extLst>
              <c:f>'CHARTS , PIVOT TB AND PIVOT CH'!$F$17</c:f>
              <c:numCache>
                <c:formatCode>General</c:formatCode>
                <c:ptCount val="1"/>
                <c:pt idx="0" formatCode="&quot;₹&quot;\ #,##0.00">
                  <c:v>6400</c:v>
                </c:pt>
              </c:numCache>
            </c:numRef>
          </c:val>
          <c:extLst>
            <c:ext xmlns:c16="http://schemas.microsoft.com/office/drawing/2014/chart" uri="{C3380CC4-5D6E-409C-BE32-E72D297353CC}">
              <c16:uniqueId val="{00000009-E66B-422E-A3A7-A7B342970706}"/>
            </c:ext>
          </c:extLst>
        </c:ser>
        <c:dLbls>
          <c:showLegendKey val="0"/>
          <c:showVal val="0"/>
          <c:showCatName val="0"/>
          <c:showSerName val="0"/>
          <c:showPercent val="0"/>
          <c:showBubbleSize val="0"/>
        </c:dLbls>
        <c:gapWidth val="100"/>
        <c:overlap val="-24"/>
        <c:axId val="1849755648"/>
        <c:axId val="1849769088"/>
      </c:barChart>
      <c:catAx>
        <c:axId val="184975564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REGION</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49769088"/>
        <c:crosses val="autoZero"/>
        <c:auto val="1"/>
        <c:lblAlgn val="ctr"/>
        <c:lblOffset val="100"/>
        <c:noMultiLvlLbl val="0"/>
      </c:catAx>
      <c:valAx>
        <c:axId val="1849769088"/>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TOTAL</a:t>
                </a:r>
                <a:r>
                  <a:rPr lang="en-IN" baseline="0"/>
                  <a:t> SALES</a:t>
                </a:r>
                <a:endParaRPr lang="en-IN"/>
              </a:p>
            </c:rich>
          </c:tx>
          <c:layout>
            <c:manualLayout>
              <c:xMode val="edge"/>
              <c:yMode val="edge"/>
              <c:x val="2.7777777777777776E-2"/>
              <c:y val="0.25142680081656466"/>
            </c:manualLayout>
          </c:layout>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IN"/>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49755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spc="20" baseline="0">
                <a:solidFill>
                  <a:schemeClr val="accent2"/>
                </a:solidFill>
                <a:latin typeface="+mn-lt"/>
                <a:ea typeface="+mn-ea"/>
                <a:cs typeface="+mn-cs"/>
              </a:defRPr>
            </a:pPr>
            <a:r>
              <a:rPr lang="en-IN" b="1">
                <a:solidFill>
                  <a:schemeClr val="accent2"/>
                </a:solidFill>
              </a:rPr>
              <a:t> TOTAL SALES PER MONTH</a:t>
            </a:r>
          </a:p>
        </c:rich>
      </c:tx>
      <c:overlay val="0"/>
      <c:spPr>
        <a:noFill/>
        <a:ln>
          <a:noFill/>
        </a:ln>
        <a:effectLst/>
      </c:spPr>
      <c:txPr>
        <a:bodyPr rot="0" spcFirstLastPara="1" vertOverflow="ellipsis" vert="horz" wrap="square" anchor="ctr" anchorCtr="1"/>
        <a:lstStyle/>
        <a:p>
          <a:pPr>
            <a:defRPr sz="1400" b="1" i="0" u="none" strike="noStrike" kern="1200" cap="none" spc="20" baseline="0">
              <a:solidFill>
                <a:schemeClr val="accent2"/>
              </a:solidFill>
              <a:latin typeface="+mn-lt"/>
              <a:ea typeface="+mn-ea"/>
              <a:cs typeface="+mn-cs"/>
            </a:defRPr>
          </a:pPr>
          <a:endParaRPr lang="en-US"/>
        </a:p>
      </c:txPr>
    </c:title>
    <c:autoTitleDeleted val="0"/>
    <c:plotArea>
      <c:layout/>
      <c:lineChart>
        <c:grouping val="standard"/>
        <c:varyColors val="0"/>
        <c:ser>
          <c:idx val="0"/>
          <c:order val="0"/>
          <c:tx>
            <c:strRef>
              <c:f>'CHARTS , PIVOT TB AND PIVOT CH'!$F$7</c:f>
              <c:strCache>
                <c:ptCount val="1"/>
                <c:pt idx="0">
                  <c:v>Total Sales</c:v>
                </c:pt>
              </c:strCache>
            </c:strRef>
          </c:tx>
          <c:spPr>
            <a:ln w="22225" cap="rnd" cmpd="sng" algn="ctr">
              <a:solidFill>
                <a:schemeClr val="accent1"/>
              </a:solidFill>
              <a:round/>
            </a:ln>
            <a:effectLst/>
          </c:spPr>
          <c:marker>
            <c:symbol val="none"/>
          </c:marker>
          <c:val>
            <c:numRef>
              <c:f>'CHARTS , PIVOT TB AND PIVOT CH'!$F$8:$F$17</c:f>
              <c:numCache>
                <c:formatCode>"₹"\ #,##0.00</c:formatCode>
                <c:ptCount val="10"/>
                <c:pt idx="0">
                  <c:v>12000</c:v>
                </c:pt>
                <c:pt idx="1">
                  <c:v>7500</c:v>
                </c:pt>
                <c:pt idx="2">
                  <c:v>8000</c:v>
                </c:pt>
                <c:pt idx="3">
                  <c:v>15000</c:v>
                </c:pt>
                <c:pt idx="4">
                  <c:v>6000</c:v>
                </c:pt>
                <c:pt idx="5">
                  <c:v>9000</c:v>
                </c:pt>
                <c:pt idx="6">
                  <c:v>9600</c:v>
                </c:pt>
                <c:pt idx="7">
                  <c:v>6600</c:v>
                </c:pt>
                <c:pt idx="8">
                  <c:v>12500</c:v>
                </c:pt>
                <c:pt idx="9">
                  <c:v>6400</c:v>
                </c:pt>
              </c:numCache>
            </c:numRef>
          </c:val>
          <c:smooth val="0"/>
          <c:extLst>
            <c:ext xmlns:c16="http://schemas.microsoft.com/office/drawing/2014/chart" uri="{C3380CC4-5D6E-409C-BE32-E72D297353CC}">
              <c16:uniqueId val="{00000000-B117-489A-9997-6CB26FE56FA7}"/>
            </c:ext>
          </c:extLst>
        </c:ser>
        <c:ser>
          <c:idx val="1"/>
          <c:order val="1"/>
          <c:tx>
            <c:strRef>
              <c:f>'CHARTS , PIVOT TB AND PIVOT CH'!$G$7</c:f>
              <c:strCache>
                <c:ptCount val="1"/>
                <c:pt idx="0">
                  <c:v>Month</c:v>
                </c:pt>
              </c:strCache>
            </c:strRef>
          </c:tx>
          <c:spPr>
            <a:ln w="22225" cap="rnd" cmpd="sng" algn="ctr">
              <a:solidFill>
                <a:schemeClr val="accent2"/>
              </a:solidFill>
              <a:round/>
            </a:ln>
            <a:effectLst/>
          </c:spPr>
          <c:marker>
            <c:symbol val="none"/>
          </c:marker>
          <c:val>
            <c:numRef>
              <c:f>'CHARTS , PIVOT TB AND PIVOT CH'!$G$8:$G$17</c:f>
              <c:numCache>
                <c:formatCode>@</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1-B117-489A-9997-6CB26FE56FA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1849722048"/>
        <c:axId val="1849729728"/>
      </c:lineChart>
      <c:catAx>
        <c:axId val="184972204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849729728"/>
        <c:crosses val="autoZero"/>
        <c:auto val="1"/>
        <c:lblAlgn val="ctr"/>
        <c:lblOffset val="100"/>
        <c:noMultiLvlLbl val="0"/>
      </c:catAx>
      <c:valAx>
        <c:axId val="1849729728"/>
        <c:scaling>
          <c:orientation val="minMax"/>
        </c:scaling>
        <c:delete val="0"/>
        <c:axPos val="l"/>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849722048"/>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TOTAL</a:t>
            </a:r>
            <a:r>
              <a:rPr lang="en-US" baseline="0"/>
              <a:t> SALES OF PRODUCTS</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pieChart>
        <c:varyColors val="1"/>
        <c:ser>
          <c:idx val="2"/>
          <c:order val="2"/>
          <c:tx>
            <c:strRef>
              <c:f>'CHARTS , PIVOT TB AND PIVOT CH'!$F$7</c:f>
              <c:strCache>
                <c:ptCount val="1"/>
                <c:pt idx="0">
                  <c:v>Total Sales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E2D-4F4E-B42F-AB527138CE4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E2D-4F4E-B42F-AB527138CE4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E2D-4F4E-B42F-AB527138CE4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E2D-4F4E-B42F-AB527138CE4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E2D-4F4E-B42F-AB527138CE4A}"/>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extLst>
              <c:ext xmlns:c16="http://schemas.microsoft.com/office/drawing/2014/chart" uri="{C3380CC4-5D6E-409C-BE32-E72D297353CC}">
                <c16:uniqueId val="{0000000B-FE2D-4F4E-B42F-AB527138CE4A}"/>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D-FE2D-4F4E-B42F-AB527138CE4A}"/>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F-FE2D-4F4E-B42F-AB527138CE4A}"/>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11-FE2D-4F4E-B42F-AB527138CE4A}"/>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13-FE2D-4F4E-B42F-AB527138CE4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'CHARTS , PIVOT TB AND PIVOT CH'!$C$8:$C$17</c:f>
              <c:strCache>
                <c:ptCount val="10"/>
                <c:pt idx="0">
                  <c:v>Laptop</c:v>
                </c:pt>
                <c:pt idx="1">
                  <c:v>Tablet</c:v>
                </c:pt>
                <c:pt idx="2">
                  <c:v>Laptop</c:v>
                </c:pt>
                <c:pt idx="3">
                  <c:v>Phone</c:v>
                </c:pt>
                <c:pt idx="4">
                  <c:v>Tablet</c:v>
                </c:pt>
                <c:pt idx="5">
                  <c:v>Phone</c:v>
                </c:pt>
                <c:pt idx="6">
                  <c:v>Laptop</c:v>
                </c:pt>
                <c:pt idx="7">
                  <c:v>Tablet</c:v>
                </c:pt>
                <c:pt idx="8">
                  <c:v>Phone</c:v>
                </c:pt>
                <c:pt idx="9">
                  <c:v>Laptop</c:v>
                </c:pt>
              </c:strCache>
            </c:strRef>
          </c:cat>
          <c:val>
            <c:numRef>
              <c:f>'CHARTS , PIVOT TB AND PIVOT CH'!$F$8:$F$17</c:f>
              <c:numCache>
                <c:formatCode>"₹"\ #,##0.00</c:formatCode>
                <c:ptCount val="10"/>
                <c:pt idx="0">
                  <c:v>12000</c:v>
                </c:pt>
                <c:pt idx="1">
                  <c:v>7500</c:v>
                </c:pt>
                <c:pt idx="2">
                  <c:v>8000</c:v>
                </c:pt>
                <c:pt idx="3">
                  <c:v>15000</c:v>
                </c:pt>
                <c:pt idx="4">
                  <c:v>6000</c:v>
                </c:pt>
                <c:pt idx="5">
                  <c:v>9000</c:v>
                </c:pt>
                <c:pt idx="6">
                  <c:v>9600</c:v>
                </c:pt>
                <c:pt idx="7">
                  <c:v>6600</c:v>
                </c:pt>
                <c:pt idx="8">
                  <c:v>12500</c:v>
                </c:pt>
                <c:pt idx="9">
                  <c:v>6400</c:v>
                </c:pt>
              </c:numCache>
            </c:numRef>
          </c:val>
          <c:extLst>
            <c:ext xmlns:c16="http://schemas.microsoft.com/office/drawing/2014/chart" uri="{C3380CC4-5D6E-409C-BE32-E72D297353CC}">
              <c16:uniqueId val="{00000002-DAC4-4AD1-B4BF-78A41FF96829}"/>
            </c:ext>
          </c:extLst>
        </c:ser>
        <c:dLbls>
          <c:dLblPos val="bestFit"/>
          <c:showLegendKey val="0"/>
          <c:showVal val="1"/>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'CHARTS , PIVOT TB AND PIVOT CH'!$D$7</c15:sqref>
                        </c15:formulaRef>
                      </c:ext>
                    </c:extLst>
                    <c:strCache>
                      <c:ptCount val="1"/>
                      <c:pt idx="0">
                        <c:v>Units Sold</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E2D-4F4E-B42F-AB527138CE4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E2D-4F4E-B42F-AB527138CE4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E2D-4F4E-B42F-AB527138CE4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E2D-4F4E-B42F-AB527138CE4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D-FE2D-4F4E-B42F-AB527138CE4A}"/>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extLst>
                    <c:ext xmlns:c16="http://schemas.microsoft.com/office/drawing/2014/chart" uri="{C3380CC4-5D6E-409C-BE32-E72D297353CC}">
                      <c16:uniqueId val="{0000001F-FE2D-4F4E-B42F-AB527138CE4A}"/>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21-FE2D-4F4E-B42F-AB527138CE4A}"/>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23-FE2D-4F4E-B42F-AB527138CE4A}"/>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25-FE2D-4F4E-B42F-AB527138CE4A}"/>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27-FE2D-4F4E-B42F-AB527138CE4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uri="{CE6537A1-D6FC-4f65-9D91-7224C49458BB}"/>
                  </c:extLst>
                </c:dLbls>
                <c:cat>
                  <c:strRef>
                    <c:extLst>
                      <c:ext uri="{02D57815-91ED-43cb-92C2-25804820EDAC}">
                        <c15:formulaRef>
                          <c15:sqref>'CHARTS , PIVOT TB AND PIVOT CH'!$C$8:$C$17</c15:sqref>
                        </c15:formulaRef>
                      </c:ext>
                    </c:extLst>
                    <c:strCache>
                      <c:ptCount val="10"/>
                      <c:pt idx="0">
                        <c:v>Laptop</c:v>
                      </c:pt>
                      <c:pt idx="1">
                        <c:v>Tablet</c:v>
                      </c:pt>
                      <c:pt idx="2">
                        <c:v>Laptop</c:v>
                      </c:pt>
                      <c:pt idx="3">
                        <c:v>Phone</c:v>
                      </c:pt>
                      <c:pt idx="4">
                        <c:v>Tablet</c:v>
                      </c:pt>
                      <c:pt idx="5">
                        <c:v>Phone</c:v>
                      </c:pt>
                      <c:pt idx="6">
                        <c:v>Laptop</c:v>
                      </c:pt>
                      <c:pt idx="7">
                        <c:v>Tablet</c:v>
                      </c:pt>
                      <c:pt idx="8">
                        <c:v>Phone</c:v>
                      </c:pt>
                      <c:pt idx="9">
                        <c:v>Laptop</c:v>
                      </c:pt>
                    </c:strCache>
                  </c:strRef>
                </c:cat>
                <c:val>
                  <c:numRef>
                    <c:extLst>
                      <c:ext uri="{02D57815-91ED-43cb-92C2-25804820EDAC}">
                        <c15:formulaRef>
                          <c15:sqref>'CHARTS , PIVOT TB AND PIVOT CH'!$D$8:$D$17</c15:sqref>
                        </c15:formulaRef>
                      </c:ext>
                    </c:extLst>
                    <c:numCache>
                      <c:formatCode>0.00</c:formatCode>
                      <c:ptCount val="10"/>
                      <c:pt idx="0">
                        <c:v>15</c:v>
                      </c:pt>
                      <c:pt idx="1">
                        <c:v>25</c:v>
                      </c:pt>
                      <c:pt idx="2">
                        <c:v>10</c:v>
                      </c:pt>
                      <c:pt idx="3">
                        <c:v>30</c:v>
                      </c:pt>
                      <c:pt idx="4">
                        <c:v>20</c:v>
                      </c:pt>
                      <c:pt idx="5">
                        <c:v>18</c:v>
                      </c:pt>
                      <c:pt idx="6">
                        <c:v>12</c:v>
                      </c:pt>
                      <c:pt idx="7">
                        <c:v>22</c:v>
                      </c:pt>
                      <c:pt idx="8">
                        <c:v>25</c:v>
                      </c:pt>
                      <c:pt idx="9">
                        <c:v>8</c:v>
                      </c:pt>
                    </c:numCache>
                  </c:numRef>
                </c:val>
                <c:extLst>
                  <c:ext xmlns:c16="http://schemas.microsoft.com/office/drawing/2014/chart" uri="{C3380CC4-5D6E-409C-BE32-E72D297353CC}">
                    <c16:uniqueId val="{00000000-DAC4-4AD1-B4BF-78A41FF96829}"/>
                  </c:ext>
                </c:extLst>
              </c15:ser>
            </c15:filteredPieSeries>
            <c15:filteredPieSeries>
              <c15:ser>
                <c:idx val="1"/>
                <c:order val="1"/>
                <c:tx>
                  <c:strRef>
                    <c:extLst xmlns:c15="http://schemas.microsoft.com/office/drawing/2012/chart">
                      <c:ext xmlns:c15="http://schemas.microsoft.com/office/drawing/2012/chart" uri="{02D57815-91ED-43cb-92C2-25804820EDAC}">
                        <c15:formulaRef>
                          <c15:sqref>'CHARTS , PIVOT TB AND PIVOT CH'!$E$7</c15:sqref>
                        </c15:formulaRef>
                      </c:ext>
                    </c:extLst>
                    <c:strCache>
                      <c:ptCount val="1"/>
                      <c:pt idx="0">
                        <c:v>Unit Price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xmlns:c15="http://schemas.microsoft.com/office/drawing/2012/chart">
                    <c:ext xmlns:c16="http://schemas.microsoft.com/office/drawing/2014/chart" uri="{C3380CC4-5D6E-409C-BE32-E72D297353CC}">
                      <c16:uniqueId val="{00000029-FE2D-4F4E-B42F-AB527138CE4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xmlns:c15="http://schemas.microsoft.com/office/drawing/2012/chart">
                    <c:ext xmlns:c16="http://schemas.microsoft.com/office/drawing/2014/chart" uri="{C3380CC4-5D6E-409C-BE32-E72D297353CC}">
                      <c16:uniqueId val="{0000002B-FE2D-4F4E-B42F-AB527138CE4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xmlns:c15="http://schemas.microsoft.com/office/drawing/2012/chart">
                    <c:ext xmlns:c16="http://schemas.microsoft.com/office/drawing/2014/chart" uri="{C3380CC4-5D6E-409C-BE32-E72D297353CC}">
                      <c16:uniqueId val="{0000002D-FE2D-4F4E-B42F-AB527138CE4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xmlns:c15="http://schemas.microsoft.com/office/drawing/2012/chart">
                    <c:ext xmlns:c16="http://schemas.microsoft.com/office/drawing/2014/chart" uri="{C3380CC4-5D6E-409C-BE32-E72D297353CC}">
                      <c16:uniqueId val="{0000002F-FE2D-4F4E-B42F-AB527138CE4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xmlns:c15="http://schemas.microsoft.com/office/drawing/2012/chart">
                    <c:ext xmlns:c16="http://schemas.microsoft.com/office/drawing/2014/chart" uri="{C3380CC4-5D6E-409C-BE32-E72D297353CC}">
                      <c16:uniqueId val="{00000031-FE2D-4F4E-B42F-AB527138CE4A}"/>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extLst xmlns:c15="http://schemas.microsoft.com/office/drawing/2012/chart">
                    <c:ext xmlns:c16="http://schemas.microsoft.com/office/drawing/2014/chart" uri="{C3380CC4-5D6E-409C-BE32-E72D297353CC}">
                      <c16:uniqueId val="{00000033-FE2D-4F4E-B42F-AB527138CE4A}"/>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extLst xmlns:c15="http://schemas.microsoft.com/office/drawing/2012/chart">
                    <c:ext xmlns:c16="http://schemas.microsoft.com/office/drawing/2014/chart" uri="{C3380CC4-5D6E-409C-BE32-E72D297353CC}">
                      <c16:uniqueId val="{00000035-FE2D-4F4E-B42F-AB527138CE4A}"/>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c:spPr>
                  <c:extLst xmlns:c15="http://schemas.microsoft.com/office/drawing/2012/chart">
                    <c:ext xmlns:c16="http://schemas.microsoft.com/office/drawing/2014/chart" uri="{C3380CC4-5D6E-409C-BE32-E72D297353CC}">
                      <c16:uniqueId val="{00000037-FE2D-4F4E-B42F-AB527138CE4A}"/>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c:spPr>
                  <c:extLst xmlns:c15="http://schemas.microsoft.com/office/drawing/2012/chart">
                    <c:ext xmlns:c16="http://schemas.microsoft.com/office/drawing/2014/chart" uri="{C3380CC4-5D6E-409C-BE32-E72D297353CC}">
                      <c16:uniqueId val="{00000039-FE2D-4F4E-B42F-AB527138CE4A}"/>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c:spPr>
                  <c:extLst xmlns:c15="http://schemas.microsoft.com/office/drawing/2012/chart">
                    <c:ext xmlns:c16="http://schemas.microsoft.com/office/drawing/2014/chart" uri="{C3380CC4-5D6E-409C-BE32-E72D297353CC}">
                      <c16:uniqueId val="{0000003B-FE2D-4F4E-B42F-AB527138CE4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'CHARTS , PIVOT TB AND PIVOT CH'!$C$8:$C$17</c15:sqref>
                        </c15:formulaRef>
                      </c:ext>
                    </c:extLst>
                    <c:strCache>
                      <c:ptCount val="10"/>
                      <c:pt idx="0">
                        <c:v>Laptop</c:v>
                      </c:pt>
                      <c:pt idx="1">
                        <c:v>Tablet</c:v>
                      </c:pt>
                      <c:pt idx="2">
                        <c:v>Laptop</c:v>
                      </c:pt>
                      <c:pt idx="3">
                        <c:v>Phone</c:v>
                      </c:pt>
                      <c:pt idx="4">
                        <c:v>Tablet</c:v>
                      </c:pt>
                      <c:pt idx="5">
                        <c:v>Phone</c:v>
                      </c:pt>
                      <c:pt idx="6">
                        <c:v>Laptop</c:v>
                      </c:pt>
                      <c:pt idx="7">
                        <c:v>Tablet</c:v>
                      </c:pt>
                      <c:pt idx="8">
                        <c:v>Phone</c:v>
                      </c:pt>
                      <c:pt idx="9">
                        <c:v>Laptop</c:v>
                      </c:pt>
                    </c:strCache>
                  </c:strRef>
                </c:cat>
                <c:val>
                  <c:numRef>
                    <c:extLst xmlns:c15="http://schemas.microsoft.com/office/drawing/2012/chart">
                      <c:ext xmlns:c15="http://schemas.microsoft.com/office/drawing/2012/chart" uri="{02D57815-91ED-43cb-92C2-25804820EDAC}">
                        <c15:formulaRef>
                          <c15:sqref>'CHARTS , PIVOT TB AND PIVOT CH'!$E$8:$E$17</c15:sqref>
                        </c15:formulaRef>
                      </c:ext>
                    </c:extLst>
                    <c:numCache>
                      <c:formatCode>General</c:formatCode>
                      <c:ptCount val="10"/>
                      <c:pt idx="0">
                        <c:v>800</c:v>
                      </c:pt>
                      <c:pt idx="1">
                        <c:v>300</c:v>
                      </c:pt>
                      <c:pt idx="2">
                        <c:v>800</c:v>
                      </c:pt>
                      <c:pt idx="3">
                        <c:v>500</c:v>
                      </c:pt>
                      <c:pt idx="4">
                        <c:v>300</c:v>
                      </c:pt>
                      <c:pt idx="5">
                        <c:v>500</c:v>
                      </c:pt>
                      <c:pt idx="6">
                        <c:v>800</c:v>
                      </c:pt>
                      <c:pt idx="7">
                        <c:v>300</c:v>
                      </c:pt>
                      <c:pt idx="8">
                        <c:v>500</c:v>
                      </c:pt>
                      <c:pt idx="9">
                        <c:v>800</c:v>
                      </c:pt>
                    </c:numCache>
                  </c:numRef>
                </c:val>
                <c:extLst xmlns:c15="http://schemas.microsoft.com/office/drawing/2012/chart">
                  <c:ext xmlns:c16="http://schemas.microsoft.com/office/drawing/2014/chart" uri="{C3380CC4-5D6E-409C-BE32-E72D297353CC}">
                    <c16:uniqueId val="{00000001-DAC4-4AD1-B4BF-78A41FF96829}"/>
                  </c:ext>
                </c:extLst>
              </c15:ser>
            </c15:filteredPieSeries>
          </c:ext>
        </c:extLst>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UNIT SOLD BY SALES PERSON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bar"/>
        <c:grouping val="clustered"/>
        <c:varyColors val="0"/>
        <c:ser>
          <c:idx val="0"/>
          <c:order val="0"/>
          <c:tx>
            <c:strRef>
              <c:extLst>
                <c:ext xmlns:c15="http://schemas.microsoft.com/office/drawing/2012/chart" uri="{02D57815-91ED-43cb-92C2-25804820EDAC}">
                  <c15:fullRef>
                    <c15:sqref>'CHARTS , PIVOT TB AND PIVOT CH'!$B$8:$C$8</c15:sqref>
                  </c15:fullRef>
                  <c15:levelRef>
                    <c15:sqref>'CHARTS , PIVOT TB AND PIVOT CH'!$B$8</c15:sqref>
                  </c15:levelRef>
                </c:ext>
              </c:extLst>
              <c:f>'CHARTS , PIVOT TB AND PIVOT CH'!$B$8</c:f>
              <c:strCache>
                <c:ptCount val="2"/>
                <c:pt idx="0">
                  <c:v>Alice</c:v>
                </c:pt>
                <c:pt idx="1">
                  <c:v>Laptop</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'CHARTS , PIVOT TB AND PIVOT CH'!$D$7</c:f>
              <c:strCache>
                <c:ptCount val="1"/>
                <c:pt idx="0">
                  <c:v>Units Sold</c:v>
                </c:pt>
              </c:strCache>
            </c:strRef>
          </c:cat>
          <c:val>
            <c:numRef>
              <c:f>'CHARTS , PIVOT TB AND PIVOT CH'!$D$8</c:f>
              <c:numCache>
                <c:formatCode>0.00</c:formatCode>
                <c:ptCount val="1"/>
                <c:pt idx="0">
                  <c:v>15</c:v>
                </c:pt>
              </c:numCache>
            </c:numRef>
          </c:val>
          <c:extLst>
            <c:ext xmlns:c16="http://schemas.microsoft.com/office/drawing/2014/chart" uri="{C3380CC4-5D6E-409C-BE32-E72D297353CC}">
              <c16:uniqueId val="{00000000-4034-489F-A7F1-F68AFB07BE01}"/>
            </c:ext>
          </c:extLst>
        </c:ser>
        <c:ser>
          <c:idx val="1"/>
          <c:order val="1"/>
          <c:tx>
            <c:strRef>
              <c:extLst>
                <c:ext xmlns:c15="http://schemas.microsoft.com/office/drawing/2012/chart" uri="{02D57815-91ED-43cb-92C2-25804820EDAC}">
                  <c15:fullRef>
                    <c15:sqref>'CHARTS , PIVOT TB AND PIVOT CH'!$B$9:$C$9</c15:sqref>
                  </c15:fullRef>
                  <c15:levelRef>
                    <c15:sqref>'CHARTS , PIVOT TB AND PIVOT CH'!$B$9</c15:sqref>
                  </c15:levelRef>
                </c:ext>
              </c:extLst>
              <c:f>'CHARTS , PIVOT TB AND PIVOT CH'!$B$9</c:f>
              <c:strCache>
                <c:ptCount val="2"/>
                <c:pt idx="0">
                  <c:v>Bob</c:v>
                </c:pt>
                <c:pt idx="1">
                  <c:v>Tablet</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'CHARTS , PIVOT TB AND PIVOT CH'!$D$7</c:f>
              <c:strCache>
                <c:ptCount val="1"/>
                <c:pt idx="0">
                  <c:v>Units Sold</c:v>
                </c:pt>
              </c:strCache>
            </c:strRef>
          </c:cat>
          <c:val>
            <c:numRef>
              <c:f>'CHARTS , PIVOT TB AND PIVOT CH'!$D$9</c:f>
              <c:numCache>
                <c:formatCode>0.00</c:formatCode>
                <c:ptCount val="1"/>
                <c:pt idx="0">
                  <c:v>25</c:v>
                </c:pt>
              </c:numCache>
            </c:numRef>
          </c:val>
          <c:extLst>
            <c:ext xmlns:c16="http://schemas.microsoft.com/office/drawing/2014/chart" uri="{C3380CC4-5D6E-409C-BE32-E72D297353CC}">
              <c16:uniqueId val="{00000001-4034-489F-A7F1-F68AFB07BE01}"/>
            </c:ext>
          </c:extLst>
        </c:ser>
        <c:ser>
          <c:idx val="2"/>
          <c:order val="2"/>
          <c:tx>
            <c:strRef>
              <c:extLst>
                <c:ext xmlns:c15="http://schemas.microsoft.com/office/drawing/2012/chart" uri="{02D57815-91ED-43cb-92C2-25804820EDAC}">
                  <c15:fullRef>
                    <c15:sqref>'CHARTS , PIVOT TB AND PIVOT CH'!$B$10:$C$10</c15:sqref>
                  </c15:fullRef>
                  <c15:levelRef>
                    <c15:sqref>'CHARTS , PIVOT TB AND PIVOT CH'!$B$10</c15:sqref>
                  </c15:levelRef>
                </c:ext>
              </c:extLst>
              <c:f>'CHARTS , PIVOT TB AND PIVOT CH'!$B$10</c:f>
              <c:strCache>
                <c:ptCount val="2"/>
                <c:pt idx="0">
                  <c:v>Carol</c:v>
                </c:pt>
                <c:pt idx="1">
                  <c:v>Laptop</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'CHARTS , PIVOT TB AND PIVOT CH'!$D$7</c:f>
              <c:strCache>
                <c:ptCount val="1"/>
                <c:pt idx="0">
                  <c:v>Units Sold</c:v>
                </c:pt>
              </c:strCache>
            </c:strRef>
          </c:cat>
          <c:val>
            <c:numRef>
              <c:f>'CHARTS , PIVOT TB AND PIVOT CH'!$D$10</c:f>
              <c:numCache>
                <c:formatCode>0.00</c:formatCode>
                <c:ptCount val="1"/>
                <c:pt idx="0">
                  <c:v>10</c:v>
                </c:pt>
              </c:numCache>
            </c:numRef>
          </c:val>
          <c:extLst>
            <c:ext xmlns:c16="http://schemas.microsoft.com/office/drawing/2014/chart" uri="{C3380CC4-5D6E-409C-BE32-E72D297353CC}">
              <c16:uniqueId val="{00000002-4034-489F-A7F1-F68AFB07BE01}"/>
            </c:ext>
          </c:extLst>
        </c:ser>
        <c:ser>
          <c:idx val="3"/>
          <c:order val="3"/>
          <c:tx>
            <c:strRef>
              <c:extLst>
                <c:ext xmlns:c15="http://schemas.microsoft.com/office/drawing/2012/chart" uri="{02D57815-91ED-43cb-92C2-25804820EDAC}">
                  <c15:fullRef>
                    <c15:sqref>'CHARTS , PIVOT TB AND PIVOT CH'!$B$11:$C$11</c15:sqref>
                  </c15:fullRef>
                  <c15:levelRef>
                    <c15:sqref>'CHARTS , PIVOT TB AND PIVOT CH'!$B$11</c15:sqref>
                  </c15:levelRef>
                </c:ext>
              </c:extLst>
              <c:f>'CHARTS , PIVOT TB AND PIVOT CH'!$B$11</c:f>
              <c:strCache>
                <c:ptCount val="2"/>
                <c:pt idx="0">
                  <c:v>Dave</c:v>
                </c:pt>
                <c:pt idx="1">
                  <c:v>Phone</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'CHARTS , PIVOT TB AND PIVOT CH'!$D$7</c:f>
              <c:strCache>
                <c:ptCount val="1"/>
                <c:pt idx="0">
                  <c:v>Units Sold</c:v>
                </c:pt>
              </c:strCache>
            </c:strRef>
          </c:cat>
          <c:val>
            <c:numRef>
              <c:f>'CHARTS , PIVOT TB AND PIVOT CH'!$D$11</c:f>
              <c:numCache>
                <c:formatCode>0.00</c:formatCode>
                <c:ptCount val="1"/>
                <c:pt idx="0">
                  <c:v>30</c:v>
                </c:pt>
              </c:numCache>
            </c:numRef>
          </c:val>
          <c:extLst>
            <c:ext xmlns:c16="http://schemas.microsoft.com/office/drawing/2014/chart" uri="{C3380CC4-5D6E-409C-BE32-E72D297353CC}">
              <c16:uniqueId val="{00000003-4034-489F-A7F1-F68AFB07BE01}"/>
            </c:ext>
          </c:extLst>
        </c:ser>
        <c:ser>
          <c:idx val="4"/>
          <c:order val="4"/>
          <c:tx>
            <c:strRef>
              <c:extLst>
                <c:ext xmlns:c15="http://schemas.microsoft.com/office/drawing/2012/chart" uri="{02D57815-91ED-43cb-92C2-25804820EDAC}">
                  <c15:fullRef>
                    <c15:sqref>'CHARTS , PIVOT TB AND PIVOT CH'!$B$12:$C$12</c15:sqref>
                  </c15:fullRef>
                  <c15:levelRef>
                    <c15:sqref>'CHARTS , PIVOT TB AND PIVOT CH'!$B$12</c15:sqref>
                  </c15:levelRef>
                </c:ext>
              </c:extLst>
              <c:f>'CHARTS , PIVOT TB AND PIVOT CH'!$B$12</c:f>
              <c:strCache>
                <c:ptCount val="2"/>
                <c:pt idx="0">
                  <c:v>Alice</c:v>
                </c:pt>
                <c:pt idx="1">
                  <c:v>Tablet</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'CHARTS , PIVOT TB AND PIVOT CH'!$D$7</c:f>
              <c:strCache>
                <c:ptCount val="1"/>
                <c:pt idx="0">
                  <c:v>Units Sold</c:v>
                </c:pt>
              </c:strCache>
            </c:strRef>
          </c:cat>
          <c:val>
            <c:numRef>
              <c:f>'CHARTS , PIVOT TB AND PIVOT CH'!$D$12</c:f>
              <c:numCache>
                <c:formatCode>0.00</c:formatCode>
                <c:ptCount val="1"/>
                <c:pt idx="0">
                  <c:v>20</c:v>
                </c:pt>
              </c:numCache>
            </c:numRef>
          </c:val>
          <c:extLst>
            <c:ext xmlns:c16="http://schemas.microsoft.com/office/drawing/2014/chart" uri="{C3380CC4-5D6E-409C-BE32-E72D297353CC}">
              <c16:uniqueId val="{00000004-4034-489F-A7F1-F68AFB07BE01}"/>
            </c:ext>
          </c:extLst>
        </c:ser>
        <c:ser>
          <c:idx val="5"/>
          <c:order val="5"/>
          <c:tx>
            <c:strRef>
              <c:extLst>
                <c:ext xmlns:c15="http://schemas.microsoft.com/office/drawing/2012/chart" uri="{02D57815-91ED-43cb-92C2-25804820EDAC}">
                  <c15:fullRef>
                    <c15:sqref>'CHARTS , PIVOT TB AND PIVOT CH'!$B$13:$C$13</c15:sqref>
                  </c15:fullRef>
                  <c15:levelRef>
                    <c15:sqref>'CHARTS , PIVOT TB AND PIVOT CH'!$B$13</c15:sqref>
                  </c15:levelRef>
                </c:ext>
              </c:extLst>
              <c:f>'CHARTS , PIVOT TB AND PIVOT CH'!$B$13</c:f>
              <c:strCache>
                <c:ptCount val="2"/>
                <c:pt idx="0">
                  <c:v>Bob</c:v>
                </c:pt>
                <c:pt idx="1">
                  <c:v>Phone</c:v>
                </c:pt>
              </c:strCache>
            </c:strRef>
          </c:tx>
          <c:spPr>
            <a:solidFill>
              <a:schemeClr val="accent6">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'CHARTS , PIVOT TB AND PIVOT CH'!$D$7</c:f>
              <c:strCache>
                <c:ptCount val="1"/>
                <c:pt idx="0">
                  <c:v>Units Sold</c:v>
                </c:pt>
              </c:strCache>
            </c:strRef>
          </c:cat>
          <c:val>
            <c:numRef>
              <c:f>'CHARTS , PIVOT TB AND PIVOT CH'!$D$13</c:f>
              <c:numCache>
                <c:formatCode>0.00</c:formatCode>
                <c:ptCount val="1"/>
                <c:pt idx="0">
                  <c:v>18</c:v>
                </c:pt>
              </c:numCache>
            </c:numRef>
          </c:val>
          <c:extLst>
            <c:ext xmlns:c16="http://schemas.microsoft.com/office/drawing/2014/chart" uri="{C3380CC4-5D6E-409C-BE32-E72D297353CC}">
              <c16:uniqueId val="{00000005-4034-489F-A7F1-F68AFB07BE01}"/>
            </c:ext>
          </c:extLst>
        </c:ser>
        <c:ser>
          <c:idx val="6"/>
          <c:order val="6"/>
          <c:tx>
            <c:strRef>
              <c:extLst>
                <c:ext xmlns:c15="http://schemas.microsoft.com/office/drawing/2012/chart" uri="{02D57815-91ED-43cb-92C2-25804820EDAC}">
                  <c15:fullRef>
                    <c15:sqref>'CHARTS , PIVOT TB AND PIVOT CH'!$B$14:$C$14</c15:sqref>
                  </c15:fullRef>
                  <c15:levelRef>
                    <c15:sqref>'CHARTS , PIVOT TB AND PIVOT CH'!$B$14</c15:sqref>
                  </c15:levelRef>
                </c:ext>
              </c:extLst>
              <c:f>'CHARTS , PIVOT TB AND PIVOT CH'!$B$14</c:f>
              <c:strCache>
                <c:ptCount val="2"/>
                <c:pt idx="0">
                  <c:v>Carol</c:v>
                </c:pt>
                <c:pt idx="1">
                  <c:v>Laptop</c:v>
                </c:pt>
              </c:strCache>
            </c:strRef>
          </c:tx>
          <c:spPr>
            <a:solidFill>
              <a:schemeClr val="accent1">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'CHARTS , PIVOT TB AND PIVOT CH'!$D$7</c:f>
              <c:strCache>
                <c:ptCount val="1"/>
                <c:pt idx="0">
                  <c:v>Units Sold</c:v>
                </c:pt>
              </c:strCache>
            </c:strRef>
          </c:cat>
          <c:val>
            <c:numRef>
              <c:f>'CHARTS , PIVOT TB AND PIVOT CH'!$D$14</c:f>
              <c:numCache>
                <c:formatCode>0.00</c:formatCode>
                <c:ptCount val="1"/>
                <c:pt idx="0">
                  <c:v>12</c:v>
                </c:pt>
              </c:numCache>
            </c:numRef>
          </c:val>
          <c:extLst>
            <c:ext xmlns:c16="http://schemas.microsoft.com/office/drawing/2014/chart" uri="{C3380CC4-5D6E-409C-BE32-E72D297353CC}">
              <c16:uniqueId val="{00000006-4034-489F-A7F1-F68AFB07BE01}"/>
            </c:ext>
          </c:extLst>
        </c:ser>
        <c:ser>
          <c:idx val="7"/>
          <c:order val="7"/>
          <c:tx>
            <c:strRef>
              <c:extLst>
                <c:ext xmlns:c15="http://schemas.microsoft.com/office/drawing/2012/chart" uri="{02D57815-91ED-43cb-92C2-25804820EDAC}">
                  <c15:fullRef>
                    <c15:sqref>'CHARTS , PIVOT TB AND PIVOT CH'!$B$15:$C$15</c15:sqref>
                  </c15:fullRef>
                  <c15:levelRef>
                    <c15:sqref>'CHARTS , PIVOT TB AND PIVOT CH'!$B$15</c15:sqref>
                  </c15:levelRef>
                </c:ext>
              </c:extLst>
              <c:f>'CHARTS , PIVOT TB AND PIVOT CH'!$B$15</c:f>
              <c:strCache>
                <c:ptCount val="2"/>
                <c:pt idx="0">
                  <c:v>Dave</c:v>
                </c:pt>
                <c:pt idx="1">
                  <c:v>Tablet</c:v>
                </c:pt>
              </c:strCache>
            </c:strRef>
          </c:tx>
          <c:spPr>
            <a:solidFill>
              <a:schemeClr val="accent2">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'CHARTS , PIVOT TB AND PIVOT CH'!$D$7</c:f>
              <c:strCache>
                <c:ptCount val="1"/>
                <c:pt idx="0">
                  <c:v>Units Sold</c:v>
                </c:pt>
              </c:strCache>
            </c:strRef>
          </c:cat>
          <c:val>
            <c:numRef>
              <c:f>'CHARTS , PIVOT TB AND PIVOT CH'!$D$15</c:f>
              <c:numCache>
                <c:formatCode>0.00</c:formatCode>
                <c:ptCount val="1"/>
                <c:pt idx="0">
                  <c:v>22</c:v>
                </c:pt>
              </c:numCache>
            </c:numRef>
          </c:val>
          <c:extLst>
            <c:ext xmlns:c16="http://schemas.microsoft.com/office/drawing/2014/chart" uri="{C3380CC4-5D6E-409C-BE32-E72D297353CC}">
              <c16:uniqueId val="{00000007-4034-489F-A7F1-F68AFB07BE01}"/>
            </c:ext>
          </c:extLst>
        </c:ser>
        <c:ser>
          <c:idx val="8"/>
          <c:order val="8"/>
          <c:tx>
            <c:strRef>
              <c:extLst>
                <c:ext xmlns:c15="http://schemas.microsoft.com/office/drawing/2012/chart" uri="{02D57815-91ED-43cb-92C2-25804820EDAC}">
                  <c15:fullRef>
                    <c15:sqref>'CHARTS , PIVOT TB AND PIVOT CH'!$B$16:$C$16</c15:sqref>
                  </c15:fullRef>
                  <c15:levelRef>
                    <c15:sqref>'CHARTS , PIVOT TB AND PIVOT CH'!$B$16</c15:sqref>
                  </c15:levelRef>
                </c:ext>
              </c:extLst>
              <c:f>'CHARTS , PIVOT TB AND PIVOT CH'!$B$16</c:f>
              <c:strCache>
                <c:ptCount val="2"/>
                <c:pt idx="0">
                  <c:v>Alice</c:v>
                </c:pt>
                <c:pt idx="1">
                  <c:v>Phone</c:v>
                </c:pt>
              </c:strCache>
            </c:strRef>
          </c:tx>
          <c:spPr>
            <a:solidFill>
              <a:schemeClr val="accent3">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'CHARTS , PIVOT TB AND PIVOT CH'!$D$7</c:f>
              <c:strCache>
                <c:ptCount val="1"/>
                <c:pt idx="0">
                  <c:v>Units Sold</c:v>
                </c:pt>
              </c:strCache>
            </c:strRef>
          </c:cat>
          <c:val>
            <c:numRef>
              <c:f>'CHARTS , PIVOT TB AND PIVOT CH'!$D$16</c:f>
              <c:numCache>
                <c:formatCode>0.00</c:formatCode>
                <c:ptCount val="1"/>
                <c:pt idx="0">
                  <c:v>25</c:v>
                </c:pt>
              </c:numCache>
            </c:numRef>
          </c:val>
          <c:extLst>
            <c:ext xmlns:c16="http://schemas.microsoft.com/office/drawing/2014/chart" uri="{C3380CC4-5D6E-409C-BE32-E72D297353CC}">
              <c16:uniqueId val="{00000008-4034-489F-A7F1-F68AFB07BE01}"/>
            </c:ext>
          </c:extLst>
        </c:ser>
        <c:ser>
          <c:idx val="9"/>
          <c:order val="9"/>
          <c:tx>
            <c:strRef>
              <c:extLst>
                <c:ext xmlns:c15="http://schemas.microsoft.com/office/drawing/2012/chart" uri="{02D57815-91ED-43cb-92C2-25804820EDAC}">
                  <c15:fullRef>
                    <c15:sqref>'CHARTS , PIVOT TB AND PIVOT CH'!$B$17:$C$17</c15:sqref>
                  </c15:fullRef>
                  <c15:levelRef>
                    <c15:sqref>'CHARTS , PIVOT TB AND PIVOT CH'!$B$17</c15:sqref>
                  </c15:levelRef>
                </c:ext>
              </c:extLst>
              <c:f>'CHARTS , PIVOT TB AND PIVOT CH'!$B$17</c:f>
              <c:strCache>
                <c:ptCount val="2"/>
                <c:pt idx="0">
                  <c:v>Bob</c:v>
                </c:pt>
                <c:pt idx="1">
                  <c:v>Laptop</c:v>
                </c:pt>
              </c:strCache>
            </c:strRef>
          </c:tx>
          <c:spPr>
            <a:solidFill>
              <a:schemeClr val="accent4">
                <a:lumMod val="60000"/>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'CHARTS , PIVOT TB AND PIVOT CH'!$D$7</c:f>
              <c:strCache>
                <c:ptCount val="1"/>
                <c:pt idx="0">
                  <c:v>Units Sold</c:v>
                </c:pt>
              </c:strCache>
            </c:strRef>
          </c:cat>
          <c:val>
            <c:numRef>
              <c:f>'CHARTS , PIVOT TB AND PIVOT CH'!$D$17</c:f>
              <c:numCache>
                <c:formatCode>0.00</c:formatCode>
                <c:ptCount val="1"/>
                <c:pt idx="0">
                  <c:v>8</c:v>
                </c:pt>
              </c:numCache>
            </c:numRef>
          </c:val>
          <c:extLst>
            <c:ext xmlns:c16="http://schemas.microsoft.com/office/drawing/2014/chart" uri="{C3380CC4-5D6E-409C-BE32-E72D297353CC}">
              <c16:uniqueId val="{00000009-4034-489F-A7F1-F68AFB07BE01}"/>
            </c:ext>
          </c:extLst>
        </c:ser>
        <c:dLbls>
          <c:dLblPos val="inEnd"/>
          <c:showLegendKey val="0"/>
          <c:showVal val="1"/>
          <c:showCatName val="0"/>
          <c:showSerName val="0"/>
          <c:showPercent val="0"/>
          <c:showBubbleSize val="0"/>
        </c:dLbls>
        <c:gapWidth val="65"/>
        <c:axId val="1849731648"/>
        <c:axId val="1849724928"/>
      </c:barChart>
      <c:catAx>
        <c:axId val="1849731648"/>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849724928"/>
        <c:crosses val="autoZero"/>
        <c:auto val="1"/>
        <c:lblAlgn val="ctr"/>
        <c:lblOffset val="100"/>
        <c:noMultiLvlLbl val="0"/>
      </c:catAx>
      <c:valAx>
        <c:axId val="1849724928"/>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849731648"/>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[Macro_Practice_Book.xlsm]CHARTS , PIVOT TB AND PIVOT CH!PivotTable34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'CHARTS , PIVOT TB AND PIVOT CH'!$M$63:$M$64</c:f>
              <c:strCache>
                <c:ptCount val="1"/>
                <c:pt idx="0">
                  <c:v>Laptop</c:v>
                </c:pt>
              </c:strCache>
            </c:strRef>
          </c:tx>
          <c:spPr>
            <a:solidFill>
              <a:schemeClr val="accent1"/>
            </a:solidFill>
            <a:ln>
              <a:noFill/>
            </a:ln>
            <a:effectLst/>
          </c:spPr>
          <c:invertIfNegative val="0"/>
          <c:cat>
            <c:strRef>
              <c:f>'CHARTS , PIVOT TB AND PIVOT CH'!$L$65:$L$69</c:f>
              <c:strCache>
                <c:ptCount val="4"/>
                <c:pt idx="0">
                  <c:v>East</c:v>
                </c:pt>
                <c:pt idx="1">
                  <c:v>North</c:v>
                </c:pt>
                <c:pt idx="2">
                  <c:v>South</c:v>
                </c:pt>
                <c:pt idx="3">
                  <c:v>West</c:v>
                </c:pt>
              </c:strCache>
            </c:strRef>
          </c:cat>
          <c:val>
            <c:numRef>
              <c:f>'CHARTS , PIVOT TB AND PIVOT CH'!$M$65:$M$69</c:f>
              <c:numCache>
                <c:formatCode>"₹"\ #,##0.00</c:formatCode>
                <c:ptCount val="4"/>
                <c:pt idx="0">
                  <c:v>17600</c:v>
                </c:pt>
                <c:pt idx="1">
                  <c:v>12000</c:v>
                </c:pt>
                <c:pt idx="2">
                  <c:v>6400</c:v>
                </c:pt>
              </c:numCache>
            </c:numRef>
          </c:val>
          <c:extLst>
            <c:ext xmlns:c16="http://schemas.microsoft.com/office/drawing/2014/chart" uri="{C3380CC4-5D6E-409C-BE32-E72D297353CC}">
              <c16:uniqueId val="{00000000-96EE-45FB-9693-296B061C16AF}"/>
            </c:ext>
          </c:extLst>
        </c:ser>
        <c:ser>
          <c:idx val="1"/>
          <c:order val="1"/>
          <c:tx>
            <c:strRef>
              <c:f>'CHARTS , PIVOT TB AND PIVOT CH'!$N$63:$N$64</c:f>
              <c:strCache>
                <c:ptCount val="1"/>
                <c:pt idx="0">
                  <c:v>Phone</c:v>
                </c:pt>
              </c:strCache>
            </c:strRef>
          </c:tx>
          <c:spPr>
            <a:solidFill>
              <a:schemeClr val="accent2"/>
            </a:solidFill>
            <a:ln>
              <a:noFill/>
            </a:ln>
            <a:effectLst/>
          </c:spPr>
          <c:invertIfNegative val="0"/>
          <c:cat>
            <c:strRef>
              <c:f>'CHARTS , PIVOT TB AND PIVOT CH'!$L$65:$L$69</c:f>
              <c:strCache>
                <c:ptCount val="4"/>
                <c:pt idx="0">
                  <c:v>East</c:v>
                </c:pt>
                <c:pt idx="1">
                  <c:v>North</c:v>
                </c:pt>
                <c:pt idx="2">
                  <c:v>South</c:v>
                </c:pt>
                <c:pt idx="3">
                  <c:v>West</c:v>
                </c:pt>
              </c:strCache>
            </c:strRef>
          </c:cat>
          <c:val>
            <c:numRef>
              <c:f>'CHARTS , PIVOT TB AND PIVOT CH'!$N$65:$N$69</c:f>
              <c:numCache>
                <c:formatCode>"₹"\ #,##0.00</c:formatCode>
                <c:ptCount val="4"/>
                <c:pt idx="1">
                  <c:v>12500</c:v>
                </c:pt>
                <c:pt idx="2">
                  <c:v>9000</c:v>
                </c:pt>
                <c:pt idx="3">
                  <c:v>15000</c:v>
                </c:pt>
              </c:numCache>
            </c:numRef>
          </c:val>
          <c:extLst>
            <c:ext xmlns:c16="http://schemas.microsoft.com/office/drawing/2014/chart" uri="{C3380CC4-5D6E-409C-BE32-E72D297353CC}">
              <c16:uniqueId val="{00000001-96EE-45FB-9693-296B061C16AF}"/>
            </c:ext>
          </c:extLst>
        </c:ser>
        <c:ser>
          <c:idx val="2"/>
          <c:order val="2"/>
          <c:tx>
            <c:strRef>
              <c:f>'CHARTS , PIVOT TB AND PIVOT CH'!$O$63:$O$64</c:f>
              <c:strCache>
                <c:ptCount val="1"/>
                <c:pt idx="0">
                  <c:v>Tablet</c:v>
                </c:pt>
              </c:strCache>
            </c:strRef>
          </c:tx>
          <c:spPr>
            <a:solidFill>
              <a:schemeClr val="accent3"/>
            </a:solidFill>
            <a:ln>
              <a:noFill/>
            </a:ln>
            <a:effectLst/>
          </c:spPr>
          <c:invertIfNegative val="0"/>
          <c:cat>
            <c:strRef>
              <c:f>'CHARTS , PIVOT TB AND PIVOT CH'!$L$65:$L$69</c:f>
              <c:strCache>
                <c:ptCount val="4"/>
                <c:pt idx="0">
                  <c:v>East</c:v>
                </c:pt>
                <c:pt idx="1">
                  <c:v>North</c:v>
                </c:pt>
                <c:pt idx="2">
                  <c:v>South</c:v>
                </c:pt>
                <c:pt idx="3">
                  <c:v>West</c:v>
                </c:pt>
              </c:strCache>
            </c:strRef>
          </c:cat>
          <c:val>
            <c:numRef>
              <c:f>'CHARTS , PIVOT TB AND PIVOT CH'!$O$65:$O$69</c:f>
              <c:numCache>
                <c:formatCode>"₹"\ #,##0.00</c:formatCode>
                <c:ptCount val="4"/>
                <c:pt idx="1">
                  <c:v>6000</c:v>
                </c:pt>
                <c:pt idx="2">
                  <c:v>7500</c:v>
                </c:pt>
                <c:pt idx="3">
                  <c:v>6600</c:v>
                </c:pt>
              </c:numCache>
            </c:numRef>
          </c:val>
          <c:extLst>
            <c:ext xmlns:c16="http://schemas.microsoft.com/office/drawing/2014/chart" uri="{C3380CC4-5D6E-409C-BE32-E72D297353CC}">
              <c16:uniqueId val="{00000005-96EE-45FB-9693-296B061C16AF}"/>
            </c:ext>
          </c:extLst>
        </c:ser>
        <c:dLbls>
          <c:showLegendKey val="0"/>
          <c:showVal val="0"/>
          <c:showCatName val="0"/>
          <c:showSerName val="0"/>
          <c:showPercent val="0"/>
          <c:showBubbleSize val="0"/>
        </c:dLbls>
        <c:gapWidth val="219"/>
        <c:overlap val="-27"/>
        <c:axId val="2128132368"/>
        <c:axId val="2128120368"/>
      </c:barChart>
      <c:catAx>
        <c:axId val="2128132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8120368"/>
        <c:crosses val="autoZero"/>
        <c:auto val="1"/>
        <c:lblAlgn val="ctr"/>
        <c:lblOffset val="100"/>
        <c:noMultiLvlLbl val="0"/>
      </c:catAx>
      <c:valAx>
        <c:axId val="21281203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81323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[Macro_Practice_Book.xlsm]CHARTS , PIVOT TB AND PIVOT CH!PivotTable35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'CHARTS , PIVOT TB AND PIVOT CH'!$K$37</c:f>
              <c:strCache>
                <c:ptCount val="1"/>
                <c:pt idx="0">
                  <c:v>Average of Total Sales</c:v>
                </c:pt>
              </c:strCache>
            </c:strRef>
          </c:tx>
          <c:spPr>
            <a:solidFill>
              <a:schemeClr val="accent1"/>
            </a:solidFill>
            <a:ln>
              <a:noFill/>
            </a:ln>
            <a:effectLst/>
          </c:spPr>
          <c:invertIfNegative val="0"/>
          <c:cat>
            <c:strRef>
              <c:f>'CHARTS , PIVOT TB AND PIVOT CH'!$J$38:$J$41</c:f>
              <c:strCache>
                <c:ptCount val="3"/>
                <c:pt idx="0">
                  <c:v>Alice</c:v>
                </c:pt>
                <c:pt idx="1">
                  <c:v>Bob</c:v>
                </c:pt>
                <c:pt idx="2">
                  <c:v>Carol</c:v>
                </c:pt>
              </c:strCache>
            </c:strRef>
          </c:cat>
          <c:val>
            <c:numRef>
              <c:f>'CHARTS , PIVOT TB AND PIVOT CH'!$K$38:$K$41</c:f>
              <c:numCache>
                <c:formatCode>"₹"\ #,##0.00</c:formatCode>
                <c:ptCount val="3"/>
                <c:pt idx="0">
                  <c:v>12000</c:v>
                </c:pt>
                <c:pt idx="1">
                  <c:v>6400</c:v>
                </c:pt>
                <c:pt idx="2">
                  <c:v>8800</c:v>
                </c:pt>
              </c:numCache>
            </c:numRef>
          </c:val>
          <c:extLst>
            <c:ext xmlns:c16="http://schemas.microsoft.com/office/drawing/2014/chart" uri="{C3380CC4-5D6E-409C-BE32-E72D297353CC}">
              <c16:uniqueId val="{00000000-7CB7-4094-833A-E8E604BE6570}"/>
            </c:ext>
          </c:extLst>
        </c:ser>
        <c:ser>
          <c:idx val="1"/>
          <c:order val="1"/>
          <c:tx>
            <c:strRef>
              <c:f>'CHARTS , PIVOT TB AND PIVOT CH'!$L$37</c:f>
              <c:strCache>
                <c:ptCount val="1"/>
                <c:pt idx="0">
                  <c:v>Sum of Units Sold</c:v>
                </c:pt>
              </c:strCache>
            </c:strRef>
          </c:tx>
          <c:spPr>
            <a:solidFill>
              <a:schemeClr val="accent2"/>
            </a:solidFill>
            <a:ln>
              <a:noFill/>
            </a:ln>
            <a:effectLst/>
          </c:spPr>
          <c:invertIfNegative val="0"/>
          <c:cat>
            <c:strRef>
              <c:f>'CHARTS , PIVOT TB AND PIVOT CH'!$J$38:$J$41</c:f>
              <c:strCache>
                <c:ptCount val="3"/>
                <c:pt idx="0">
                  <c:v>Alice</c:v>
                </c:pt>
                <c:pt idx="1">
                  <c:v>Bob</c:v>
                </c:pt>
                <c:pt idx="2">
                  <c:v>Carol</c:v>
                </c:pt>
              </c:strCache>
            </c:strRef>
          </c:cat>
          <c:val>
            <c:numRef>
              <c:f>'CHARTS , PIVOT TB AND PIVOT CH'!$L$38:$L$41</c:f>
              <c:numCache>
                <c:formatCode>0.00</c:formatCode>
                <c:ptCount val="3"/>
                <c:pt idx="0">
                  <c:v>15</c:v>
                </c:pt>
                <c:pt idx="1">
                  <c:v>8</c:v>
                </c:pt>
                <c:pt idx="2">
                  <c:v>22</c:v>
                </c:pt>
              </c:numCache>
            </c:numRef>
          </c:val>
          <c:extLst>
            <c:ext xmlns:c16="http://schemas.microsoft.com/office/drawing/2014/chart" uri="{C3380CC4-5D6E-409C-BE32-E72D297353CC}">
              <c16:uniqueId val="{00000001-7CB7-4094-833A-E8E604BE6570}"/>
            </c:ext>
          </c:extLst>
        </c:ser>
        <c:dLbls>
          <c:showLegendKey val="0"/>
          <c:showVal val="0"/>
          <c:showCatName val="0"/>
          <c:showSerName val="0"/>
          <c:showPercent val="0"/>
          <c:showBubbleSize val="0"/>
        </c:dLbls>
        <c:gapWidth val="219"/>
        <c:overlap val="-27"/>
        <c:axId val="2128110768"/>
        <c:axId val="2128111248"/>
      </c:barChart>
      <c:catAx>
        <c:axId val="2128110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8111248"/>
        <c:crosses val="autoZero"/>
        <c:auto val="1"/>
        <c:lblAlgn val="ctr"/>
        <c:lblOffset val="100"/>
        <c:noMultiLvlLbl val="0"/>
      </c:catAx>
      <c:valAx>
        <c:axId val="21281112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8110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257175</xdr:colOff>
      <xdr:row>18</xdr:row>
      <xdr:rowOff>76200</xdr:rowOff>
    </xdr:from>
    <xdr:to>
      <xdr:col>13</xdr:col>
      <xdr:colOff>561975</xdr:colOff>
      <xdr:row>32</xdr:row>
      <xdr:rowOff>127000</xdr:rowOff>
    </xdr:to>
    <xdr:graphicFrame macro="">
      <xdr:nvGraphicFramePr>
        <xdr:cNvPr id="2" name="Chart 1">
          <a:extLst>
            <a:ext uri="{FF2B5EF4-FFF2-40B4-BE49-F238E27FC236}">
              <a16:creationId xmlns:a16="http://schemas.microsoft.com/office/drawing/2014/main" id="{9D31B1ED-E85F-2A88-93C7-1F057C3CC0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53975</xdr:colOff>
      <xdr:row>18</xdr:row>
      <xdr:rowOff>95250</xdr:rowOff>
    </xdr:from>
    <xdr:to>
      <xdr:col>21</xdr:col>
      <xdr:colOff>358775</xdr:colOff>
      <xdr:row>32</xdr:row>
      <xdr:rowOff>146050</xdr:rowOff>
    </xdr:to>
    <xdr:graphicFrame macro="">
      <xdr:nvGraphicFramePr>
        <xdr:cNvPr id="3" name="Chart 2">
          <a:extLst>
            <a:ext uri="{FF2B5EF4-FFF2-40B4-BE49-F238E27FC236}">
              <a16:creationId xmlns:a16="http://schemas.microsoft.com/office/drawing/2014/main" id="{9F84B11C-5D1E-6DA6-0555-22F36C5511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485775</xdr:colOff>
      <xdr:row>18</xdr:row>
      <xdr:rowOff>101600</xdr:rowOff>
    </xdr:from>
    <xdr:to>
      <xdr:col>29</xdr:col>
      <xdr:colOff>180975</xdr:colOff>
      <xdr:row>32</xdr:row>
      <xdr:rowOff>152400</xdr:rowOff>
    </xdr:to>
    <xdr:graphicFrame macro="">
      <xdr:nvGraphicFramePr>
        <xdr:cNvPr id="4" name="Chart 3">
          <a:extLst>
            <a:ext uri="{FF2B5EF4-FFF2-40B4-BE49-F238E27FC236}">
              <a16:creationId xmlns:a16="http://schemas.microsoft.com/office/drawing/2014/main" id="{89E17A94-F5E5-A5C8-0241-261A9B7E75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358775</xdr:colOff>
      <xdr:row>18</xdr:row>
      <xdr:rowOff>82550</xdr:rowOff>
    </xdr:from>
    <xdr:to>
      <xdr:col>37</xdr:col>
      <xdr:colOff>53975</xdr:colOff>
      <xdr:row>32</xdr:row>
      <xdr:rowOff>133350</xdr:rowOff>
    </xdr:to>
    <xdr:graphicFrame macro="">
      <xdr:nvGraphicFramePr>
        <xdr:cNvPr id="5" name="Chart 4">
          <a:extLst>
            <a:ext uri="{FF2B5EF4-FFF2-40B4-BE49-F238E27FC236}">
              <a16:creationId xmlns:a16="http://schemas.microsoft.com/office/drawing/2014/main" id="{8A77C3B6-02FD-260F-EF32-1ECDC6AAB5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73025</xdr:colOff>
      <xdr:row>61</xdr:row>
      <xdr:rowOff>171450</xdr:rowOff>
    </xdr:from>
    <xdr:to>
      <xdr:col>10</xdr:col>
      <xdr:colOff>1235075</xdr:colOff>
      <xdr:row>76</xdr:row>
      <xdr:rowOff>152400</xdr:rowOff>
    </xdr:to>
    <xdr:graphicFrame macro="">
      <xdr:nvGraphicFramePr>
        <xdr:cNvPr id="6" name="Chart 5">
          <a:extLst>
            <a:ext uri="{FF2B5EF4-FFF2-40B4-BE49-F238E27FC236}">
              <a16:creationId xmlns:a16="http://schemas.microsoft.com/office/drawing/2014/main" id="{1A27F21A-E204-1CF8-474F-998AE8320E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101600</xdr:colOff>
      <xdr:row>62</xdr:row>
      <xdr:rowOff>0</xdr:rowOff>
    </xdr:from>
    <xdr:to>
      <xdr:col>17</xdr:col>
      <xdr:colOff>571500</xdr:colOff>
      <xdr:row>75</xdr:row>
      <xdr:rowOff>130175</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4662545F-F01C-5CC5-9FFA-7FCA23E7314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1569700" y="120586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365125</xdr:colOff>
      <xdr:row>33</xdr:row>
      <xdr:rowOff>44450</xdr:rowOff>
    </xdr:from>
    <xdr:to>
      <xdr:col>18</xdr:col>
      <xdr:colOff>415925</xdr:colOff>
      <xdr:row>48</xdr:row>
      <xdr:rowOff>25400</xdr:rowOff>
    </xdr:to>
    <xdr:graphicFrame macro="">
      <xdr:nvGraphicFramePr>
        <xdr:cNvPr id="8" name="Chart 7">
          <a:extLst>
            <a:ext uri="{FF2B5EF4-FFF2-40B4-BE49-F238E27FC236}">
              <a16:creationId xmlns:a16="http://schemas.microsoft.com/office/drawing/2014/main" id="{B17BD0B6-B573-7032-CD41-68B5A4246B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133350</xdr:colOff>
          <xdr:row>7</xdr:row>
          <xdr:rowOff>63500</xdr:rowOff>
        </xdr:from>
        <xdr:to>
          <xdr:col>10</xdr:col>
          <xdr:colOff>285750</xdr:colOff>
          <xdr:row>8</xdr:row>
          <xdr:rowOff>6350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Data_Formatting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1047750</xdr:colOff>
          <xdr:row>5</xdr:row>
          <xdr:rowOff>69850</xdr:rowOff>
        </xdr:from>
        <xdr:to>
          <xdr:col>10</xdr:col>
          <xdr:colOff>177800</xdr:colOff>
          <xdr:row>7</xdr:row>
          <xdr:rowOff>57150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355600</xdr:colOff>
          <xdr:row>1</xdr:row>
          <xdr:rowOff>25400</xdr:rowOff>
        </xdr:from>
        <xdr:to>
          <xdr:col>9</xdr:col>
          <xdr:colOff>546100</xdr:colOff>
          <xdr:row>2</xdr:row>
          <xdr:rowOff>107950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PRIYA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419100</xdr:colOff>
          <xdr:row>3</xdr:row>
          <xdr:rowOff>76200</xdr:rowOff>
        </xdr:from>
        <xdr:to>
          <xdr:col>9</xdr:col>
          <xdr:colOff>584200</xdr:colOff>
          <xdr:row>4</xdr:row>
          <xdr:rowOff>127000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SNEHA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476250</xdr:colOff>
          <xdr:row>5</xdr:row>
          <xdr:rowOff>152400</xdr:rowOff>
        </xdr:from>
        <xdr:to>
          <xdr:col>10</xdr:col>
          <xdr:colOff>260350</xdr:colOff>
          <xdr:row>7</xdr:row>
          <xdr:rowOff>25400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SELECT ALL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4</xdr:col>
      <xdr:colOff>184150</xdr:colOff>
      <xdr:row>7</xdr:row>
      <xdr:rowOff>158751</xdr:rowOff>
    </xdr:from>
    <xdr:to>
      <xdr:col>6</xdr:col>
      <xdr:colOff>57150</xdr:colOff>
      <xdr:row>15</xdr:row>
      <xdr:rowOff>6351</xdr:rowOff>
    </xdr:to>
    <mc:AlternateContent xmlns:mc="http://schemas.openxmlformats.org/markup-compatibility/2006" xmlns:sle15="http://schemas.microsoft.com/office/drawing/2012/slicer">
      <mc:Choice Requires="sle15">
        <xdr:graphicFrame macro="">
          <xdr:nvGraphicFramePr>
            <xdr:cNvPr id="2" name="Product">
              <a:extLst>
                <a:ext uri="{FF2B5EF4-FFF2-40B4-BE49-F238E27FC236}">
                  <a16:creationId xmlns:a16="http://schemas.microsoft.com/office/drawing/2014/main" id="{02BE0291-FA1F-4735-0911-44215C646EBF}"/>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4248150" y="1593851"/>
              <a:ext cx="1346200" cy="150495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8</xdr:col>
          <xdr:colOff>120650</xdr:colOff>
          <xdr:row>23</xdr:row>
          <xdr:rowOff>88900</xdr:rowOff>
        </xdr:from>
        <xdr:to>
          <xdr:col>10</xdr:col>
          <xdr:colOff>260350</xdr:colOff>
          <xdr:row>26</xdr:row>
          <xdr:rowOff>88900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Macro 3</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idh" refreshedDate="45955.897874421295" createdVersion="8" refreshedVersion="8" minRefreshableVersion="3" recordCount="10" xr:uid="{5D2215FE-FD64-4229-BD9C-1EC55FC631B1}">
  <cacheSource type="worksheet">
    <worksheetSource ref="A7:G17" sheet="CHARTS , PIVOT TB AND PIVOT CH"/>
  </cacheSource>
  <cacheFields count="7">
    <cacheField name="Region" numFmtId="0">
      <sharedItems count="4">
        <s v="North"/>
        <s v="South"/>
        <s v="East"/>
        <s v="West"/>
      </sharedItems>
    </cacheField>
    <cacheField name="Salesperson" numFmtId="0">
      <sharedItems count="4">
        <s v="Alice"/>
        <s v="Bob"/>
        <s v="Carol"/>
        <s v="Dave"/>
      </sharedItems>
    </cacheField>
    <cacheField name="Product" numFmtId="0">
      <sharedItems count="3">
        <s v="Laptop"/>
        <s v="Tablet"/>
        <s v="Phone"/>
      </sharedItems>
    </cacheField>
    <cacheField name="Units Sold" numFmtId="2">
      <sharedItems containsSemiMixedTypes="0" containsString="0" containsNumber="1" containsInteger="1" minValue="8" maxValue="30"/>
    </cacheField>
    <cacheField name="Unit Price" numFmtId="0">
      <sharedItems containsSemiMixedTypes="0" containsString="0" containsNumber="1" containsInteger="1" minValue="300" maxValue="800"/>
    </cacheField>
    <cacheField name="Total Sales" numFmtId="164">
      <sharedItems containsSemiMixedTypes="0" containsString="0" containsNumber="1" containsInteger="1" minValue="6000" maxValue="15000"/>
    </cacheField>
    <cacheField name="Month" numFmtId="49">
      <sharedItems count="5">
        <s v="January"/>
        <s v="February"/>
        <s v="March"/>
        <s v="April"/>
        <s v="May"/>
      </sharedItems>
    </cacheField>
  </cacheFields>
  <extLst>
    <ext xmlns:x14="http://schemas.microsoft.com/office/spreadsheetml/2009/9/main" uri="{725AE2AE-9491-48be-B2B4-4EB974FC3084}">
      <x14:pivotCacheDefinition pivotCacheId="6605065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x v="0"/>
    <x v="0"/>
    <n v="15"/>
    <n v="800"/>
    <n v="12000"/>
    <x v="0"/>
  </r>
  <r>
    <x v="1"/>
    <x v="1"/>
    <x v="1"/>
    <n v="25"/>
    <n v="300"/>
    <n v="7500"/>
    <x v="0"/>
  </r>
  <r>
    <x v="2"/>
    <x v="2"/>
    <x v="0"/>
    <n v="10"/>
    <n v="800"/>
    <n v="8000"/>
    <x v="1"/>
  </r>
  <r>
    <x v="3"/>
    <x v="3"/>
    <x v="2"/>
    <n v="30"/>
    <n v="500"/>
    <n v="15000"/>
    <x v="1"/>
  </r>
  <r>
    <x v="0"/>
    <x v="0"/>
    <x v="1"/>
    <n v="20"/>
    <n v="300"/>
    <n v="6000"/>
    <x v="2"/>
  </r>
  <r>
    <x v="1"/>
    <x v="1"/>
    <x v="2"/>
    <n v="18"/>
    <n v="500"/>
    <n v="9000"/>
    <x v="2"/>
  </r>
  <r>
    <x v="2"/>
    <x v="2"/>
    <x v="0"/>
    <n v="12"/>
    <n v="800"/>
    <n v="9600"/>
    <x v="3"/>
  </r>
  <r>
    <x v="3"/>
    <x v="3"/>
    <x v="1"/>
    <n v="22"/>
    <n v="300"/>
    <n v="6600"/>
    <x v="3"/>
  </r>
  <r>
    <x v="0"/>
    <x v="0"/>
    <x v="2"/>
    <n v="25"/>
    <n v="500"/>
    <n v="12500"/>
    <x v="4"/>
  </r>
  <r>
    <x v="1"/>
    <x v="1"/>
    <x v="0"/>
    <n v="8"/>
    <n v="800"/>
    <n v="6400"/>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C87B983-994F-404B-921E-D74945FFE1C8}" name="PivotTable3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J37:L41" firstHeaderRow="0" firstDataRow="1" firstDataCol="1" rowPageCount="2" colPageCount="1"/>
  <pivotFields count="7">
    <pivotField showAll="0"/>
    <pivotField axis="axisRow" showAll="0">
      <items count="5">
        <item x="0"/>
        <item x="1"/>
        <item x="2"/>
        <item x="3"/>
        <item t="default"/>
      </items>
    </pivotField>
    <pivotField axis="axisPage" showAll="0">
      <items count="4">
        <item x="0"/>
        <item x="2"/>
        <item x="1"/>
        <item t="default"/>
      </items>
    </pivotField>
    <pivotField dataField="1" numFmtId="2" showAll="0"/>
    <pivotField showAll="0"/>
    <pivotField dataField="1" numFmtId="164" showAll="0"/>
    <pivotField axis="axisPage" showAll="0">
      <items count="6">
        <item x="0"/>
        <item x="1"/>
        <item x="2"/>
        <item x="3"/>
        <item x="4"/>
        <item t="default"/>
      </items>
    </pivotField>
  </pivotFields>
  <rowFields count="1">
    <field x="1"/>
  </rowFields>
  <rowItems count="4">
    <i>
      <x/>
    </i>
    <i>
      <x v="1"/>
    </i>
    <i>
      <x v="2"/>
    </i>
    <i t="grand">
      <x/>
    </i>
  </rowItems>
  <colFields count="1">
    <field x="-2"/>
  </colFields>
  <colItems count="2">
    <i>
      <x/>
    </i>
    <i i="1">
      <x v="1"/>
    </i>
  </colItems>
  <pageFields count="2">
    <pageField fld="6" hier="-1"/>
    <pageField fld="2" item="0" hier="-1"/>
  </pageFields>
  <dataFields count="2">
    <dataField name="Average of Total Sales" fld="5" subtotal="average" baseField="1" baseItem="0" numFmtId="164"/>
    <dataField name="Sum of Units Sold" fld="3" baseField="0" baseItem="0" numFmtId="2"/>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35266C0-617F-4268-9EA3-49D5CFF2F726}" name="PivotTable3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63:P69" firstHeaderRow="1" firstDataRow="2" firstDataCol="1"/>
  <pivotFields count="7">
    <pivotField axis="axisRow" showAll="0">
      <items count="5">
        <item x="2"/>
        <item x="0"/>
        <item x="1"/>
        <item x="3"/>
        <item t="default"/>
      </items>
    </pivotField>
    <pivotField showAll="0"/>
    <pivotField axis="axisCol" showAll="0">
      <items count="4">
        <item x="0"/>
        <item x="2"/>
        <item x="1"/>
        <item t="default"/>
      </items>
    </pivotField>
    <pivotField numFmtId="2" showAll="0"/>
    <pivotField showAll="0"/>
    <pivotField dataField="1" numFmtId="164" showAll="0"/>
    <pivotField showAll="0">
      <items count="6">
        <item x="0"/>
        <item x="1"/>
        <item x="2"/>
        <item x="3"/>
        <item x="4"/>
        <item t="default"/>
      </items>
    </pivotField>
  </pivotFields>
  <rowFields count="1">
    <field x="0"/>
  </rowFields>
  <rowItems count="5">
    <i>
      <x/>
    </i>
    <i>
      <x v="1"/>
    </i>
    <i>
      <x v="2"/>
    </i>
    <i>
      <x v="3"/>
    </i>
    <i t="grand">
      <x/>
    </i>
  </rowItems>
  <colFields count="1">
    <field x="2"/>
  </colFields>
  <colItems count="4">
    <i>
      <x/>
    </i>
    <i>
      <x v="1"/>
    </i>
    <i>
      <x v="2"/>
    </i>
    <i t="grand">
      <x/>
    </i>
  </colItems>
  <dataFields count="1">
    <dataField name="Sum of Total Sales" fld="5" baseField="0" baseItem="0" numFmtId="164"/>
  </dataFields>
  <chartFormats count="3">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CD7BA0A9-CF07-48B4-9F36-DE8392822EAD}" autoFormatId="16" applyNumberFormats="0" applyBorderFormats="0" applyFontFormats="0" applyPatternFormats="0" applyAlignmentFormats="0" applyWidthHeightFormats="0">
  <queryTableRefresh nextId="6">
    <queryTableFields count="5">
      <queryTableField id="1" name="Name" tableColumnId="1"/>
      <queryTableField id="2" name="Age" tableColumnId="2"/>
      <queryTableField id="3" name="Employee ID" tableColumnId="3"/>
      <queryTableField id="4" name="Remarks" tableColumnId="4"/>
      <queryTableField id="5" name="Details"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9E882B6-33B3-4C66-8177-C275A09EB0FB}" sourceName="Month">
  <pivotTables>
    <pivotTable tabId="4" name="PivotTable34"/>
  </pivotTables>
  <data>
    <tabular pivotCacheId="660506565">
      <items count="5">
        <i x="0" s="1"/>
        <i x="1" s="1"/>
        <i x="2"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91BCA344-1432-4EF7-AE5C-B54EDDCD6349}" sourceName="Product">
  <extLst>
    <x:ext xmlns:x15="http://schemas.microsoft.com/office/spreadsheetml/2010/11/main" uri="{2F2917AC-EB37-4324-AD4E-5DD8C200BD13}">
      <x15:tableSlicerCache tableId="3"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675A9DD8-0228-450F-A4BB-D7C699A42153}" cache="Slicer_Month" caption="Month"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01205492-2F64-4642-ABA4-99B118FA7263}" cache="Slicer_Product" caption="Product" style="SlicerStyleDark2"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5F3F1A7-A26B-4D4B-9C1B-989D9A98A3F4}" name="Table1" displayName="Table1" ref="A1:L11" totalsRowShown="0" headerRowDxfId="45" dataDxfId="44">
  <autoFilter ref="A1:L11" xr:uid="{25F3F1A7-A26B-4D4B-9C1B-989D9A98A3F4}"/>
  <tableColumns count="12">
    <tableColumn id="1" xr3:uid="{9C2711C3-C9F6-4C3B-931E-A5E6744D4F76}" name="Employee ID" dataDxfId="43"/>
    <tableColumn id="2" xr3:uid="{CC8703C0-7691-440F-9D49-29A57FFB6266}" name="Employee Name" dataDxfId="42"/>
    <tableColumn id="3" xr3:uid="{BD3910A7-CE52-45F9-A4BC-ED23A6A86758}" name="Employee Dept." dataDxfId="41"/>
    <tableColumn id="4" xr3:uid="{1FB008F1-2D92-4644-9F3A-620BA87E1598}" name="Employee Designation" dataDxfId="40"/>
    <tableColumn id="5" xr3:uid="{A24467EF-0407-4AAD-B0B9-E8E086F18FBA}" name="Employee Gender" dataDxfId="39"/>
    <tableColumn id="6" xr3:uid="{ACFA04FE-5A62-4FE8-847F-7AEA32864900}" name="Employee Age" dataDxfId="38"/>
    <tableColumn id="7" xr3:uid="{FEA02494-8DED-44B6-A287-2140CED49BD2}" name="Employee Joining" dataDxfId="37"/>
    <tableColumn id="8" xr3:uid="{749FA4A7-978C-44B9-870E-17D470D173D5}" name="Employee Sal" dataDxfId="36"/>
    <tableColumn id="9" xr3:uid="{F6FF12EA-EE8B-4E9C-9AF1-CF1D19BFE608}" name="Employee Rank" dataDxfId="35"/>
    <tableColumn id="10" xr3:uid="{5C5967E4-90BC-4751-9671-DD252D151734}" name="Employee City" dataDxfId="34"/>
    <tableColumn id="11" xr3:uid="{A407A79B-55D2-4C82-9D5D-D6DD7945F730}" name="Employee Performance " dataDxfId="33">
      <calculatedColumnFormula array="1">_xlfn.SWITCH(I2,1,"Good",2,"Better",3,"Best",4,"Worst","Invalid Entry")</calculatedColumnFormula>
    </tableColumn>
    <tableColumn id="12" xr3:uid="{0DC06038-C223-487A-903D-188F4F5FDC50}" name="BLANK" dataDxfId="32"/>
  </tableColumns>
  <tableStyleInfo name="TableStyleMedium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80E4903-5F02-444A-B668-05F432941301}" name="Book1" displayName="Book1" ref="A1:E6" tableType="queryTable" totalsRowShown="0" headerRowDxfId="12" dataDxfId="11">
  <autoFilter ref="A1:E6" xr:uid="{280E4903-5F02-444A-B668-05F432941301}"/>
  <tableColumns count="5">
    <tableColumn id="1" xr3:uid="{80FF65B1-D9EC-405F-AB78-C26FB4026BEE}" uniqueName="1" name="Name" queryTableFieldId="1" dataDxfId="10"/>
    <tableColumn id="2" xr3:uid="{92D95557-39F9-4116-B690-943FB7C8EC03}" uniqueName="2" name="Age" queryTableFieldId="2" dataDxfId="9"/>
    <tableColumn id="3" xr3:uid="{45F9C724-7D9C-4EF5-800E-0B5FF81BDE4B}" uniqueName="3" name="Employee ID" queryTableFieldId="3" dataDxfId="8"/>
    <tableColumn id="4" xr3:uid="{613E154D-6222-423F-904D-A361DDDDB020}" uniqueName="4" name="Remarks" queryTableFieldId="4" dataDxfId="7"/>
    <tableColumn id="5" xr3:uid="{1811449F-C02A-4408-A74E-ED800AB74A5C}" uniqueName="5" name="Details" queryTableFieldId="5" dataDxfId="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961555F-CE25-4313-8630-7DA9FDD29694}" name="Table3" displayName="Table3" ref="A8:D16" totalsRowShown="0" headerRowDxfId="1" dataDxfId="0">
  <autoFilter ref="A8:D16" xr:uid="{C961555F-CE25-4313-8630-7DA9FDD29694}"/>
  <tableColumns count="4">
    <tableColumn id="1" xr3:uid="{0388A40F-1216-4733-8246-D92BAD6208C0}" name="Product" dataDxfId="5"/>
    <tableColumn id="2" xr3:uid="{98B1C91D-1DBE-41E1-95DE-172DCE71F8ED}" name="Units Sold" dataDxfId="4"/>
    <tableColumn id="3" xr3:uid="{D653C308-08D3-4161-A2FA-F7577B2A3581}" name="Unit Price" dataDxfId="3"/>
    <tableColumn id="4" xr3:uid="{9BBE3931-7EA9-40DB-BEE8-A588A83E407A}" name="Total Sales" dataDxfId="2"/>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 Id="rId5" Type="http://schemas.microsoft.com/office/2007/relationships/slicer" Target="../slicers/slicer2.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E64347-8FF7-4096-AAC1-A41F16A580A2}">
  <sheetPr codeName="Sheet2"/>
  <dimension ref="A1:L70"/>
  <sheetViews>
    <sheetView topLeftCell="A13" workbookViewId="0">
      <selection activeCell="C62" sqref="C62"/>
    </sheetView>
  </sheetViews>
  <sheetFormatPr defaultRowHeight="14.5"/>
  <cols>
    <col min="1" max="1" width="22.6328125" style="4" bestFit="1" customWidth="1"/>
    <col min="2" max="2" width="20.90625" style="4" bestFit="1" customWidth="1"/>
    <col min="3" max="3" width="18.1796875" style="4" customWidth="1"/>
    <col min="4" max="4" width="24.54296875" style="4" customWidth="1"/>
    <col min="5" max="5" width="20.54296875" style="4" customWidth="1"/>
    <col min="6" max="6" width="14.26953125" style="4" customWidth="1"/>
    <col min="7" max="7" width="20.453125" style="4" customWidth="1"/>
    <col min="8" max="8" width="16.26953125" style="4" customWidth="1"/>
    <col min="9" max="9" width="18.26953125" style="4" bestFit="1" customWidth="1"/>
    <col min="10" max="10" width="13.81640625" style="4" customWidth="1"/>
    <col min="11" max="11" width="23.7265625" style="4" bestFit="1" customWidth="1"/>
    <col min="12" max="12" width="10.81640625" style="4" bestFit="1" customWidth="1"/>
    <col min="13" max="16384" width="8.7265625" style="4"/>
  </cols>
  <sheetData>
    <row r="1" spans="1:12">
      <c r="A1" s="1" t="s">
        <v>0</v>
      </c>
      <c r="B1" s="1" t="s">
        <v>49</v>
      </c>
      <c r="C1" s="1" t="s">
        <v>50</v>
      </c>
      <c r="D1" s="1" t="s">
        <v>51</v>
      </c>
      <c r="E1" s="1" t="s">
        <v>57</v>
      </c>
      <c r="F1" s="1" t="s">
        <v>52</v>
      </c>
      <c r="G1" s="1" t="s">
        <v>53</v>
      </c>
      <c r="H1" s="1" t="s">
        <v>54</v>
      </c>
      <c r="I1" s="1" t="s">
        <v>55</v>
      </c>
      <c r="J1" s="1" t="s">
        <v>56</v>
      </c>
      <c r="K1" s="1" t="s">
        <v>77</v>
      </c>
      <c r="L1" s="1" t="s">
        <v>177</v>
      </c>
    </row>
    <row r="2" spans="1:12">
      <c r="A2" s="5" t="s">
        <v>1</v>
      </c>
      <c r="B2" s="5" t="s">
        <v>2</v>
      </c>
      <c r="C2" s="5" t="s">
        <v>3</v>
      </c>
      <c r="D2" s="5" t="s">
        <v>4</v>
      </c>
      <c r="E2" s="5" t="s">
        <v>5</v>
      </c>
      <c r="F2" s="5">
        <v>28</v>
      </c>
      <c r="G2" s="6">
        <v>43963</v>
      </c>
      <c r="H2" s="5">
        <v>65000</v>
      </c>
      <c r="I2" s="5">
        <v>1</v>
      </c>
      <c r="J2" s="5" t="s">
        <v>6</v>
      </c>
      <c r="K2" s="5" t="str" cm="1">
        <f t="array" ref="K2">_xlfn.SWITCH(I2,1,"Good",2,"Better",3,"Best",4,"Worst","Invalid Entry")</f>
        <v>Good</v>
      </c>
      <c r="L2" s="5"/>
    </row>
    <row r="3" spans="1:12">
      <c r="A3" s="5" t="s">
        <v>7</v>
      </c>
      <c r="B3" s="5" t="s">
        <v>8</v>
      </c>
      <c r="C3" s="5" t="s">
        <v>9</v>
      </c>
      <c r="D3" s="5" t="s">
        <v>10</v>
      </c>
      <c r="E3" s="5" t="s">
        <v>11</v>
      </c>
      <c r="F3" s="5">
        <v>26</v>
      </c>
      <c r="G3" s="6">
        <v>44245</v>
      </c>
      <c r="H3" s="5">
        <v>45000</v>
      </c>
      <c r="I3" s="5">
        <v>4</v>
      </c>
      <c r="J3" s="5" t="s">
        <v>12</v>
      </c>
      <c r="K3" s="5" t="str" cm="1">
        <f t="array" ref="K3">_xlfn.SWITCH(I3,1,"Good",2,"Better",3,"Best",4,"Worst","Invalid Entry")</f>
        <v>Worst</v>
      </c>
      <c r="L3" s="5"/>
    </row>
    <row r="4" spans="1:12">
      <c r="A4" s="5" t="s">
        <v>13</v>
      </c>
      <c r="B4" s="5" t="s">
        <v>14</v>
      </c>
      <c r="C4" s="5" t="s">
        <v>15</v>
      </c>
      <c r="D4" s="5" t="s">
        <v>16</v>
      </c>
      <c r="E4" s="5" t="s">
        <v>5</v>
      </c>
      <c r="F4" s="5">
        <v>32</v>
      </c>
      <c r="G4" s="6">
        <v>43656</v>
      </c>
      <c r="H4" s="5">
        <v>52000</v>
      </c>
      <c r="I4" s="5">
        <v>3</v>
      </c>
      <c r="J4" s="5" t="s">
        <v>17</v>
      </c>
      <c r="K4" s="5" t="str" cm="1">
        <f t="array" ref="K4">_xlfn.SWITCH(I4,1,"Good",2,"Better",3,"Best",4,"Worst","Invalid Entry")</f>
        <v>Best</v>
      </c>
      <c r="L4" s="5"/>
    </row>
    <row r="5" spans="1:12">
      <c r="A5" s="5" t="s">
        <v>18</v>
      </c>
      <c r="B5" s="5" t="s">
        <v>19</v>
      </c>
      <c r="C5" s="5" t="s">
        <v>20</v>
      </c>
      <c r="D5" s="5" t="s">
        <v>21</v>
      </c>
      <c r="E5" s="5" t="s">
        <v>11</v>
      </c>
      <c r="F5" s="5">
        <v>27</v>
      </c>
      <c r="G5" s="6">
        <v>44642</v>
      </c>
      <c r="H5" s="5">
        <v>48000</v>
      </c>
      <c r="I5" s="5">
        <v>4</v>
      </c>
      <c r="J5" s="5" t="s">
        <v>22</v>
      </c>
      <c r="K5" s="5" t="str" cm="1">
        <f t="array" ref="K5">_xlfn.SWITCH(I5,1,"Good",2,"Better",3,"Best",4,"Worst","Invalid Entry")</f>
        <v>Worst</v>
      </c>
      <c r="L5" s="5"/>
    </row>
    <row r="6" spans="1:12">
      <c r="A6" s="5" t="s">
        <v>23</v>
      </c>
      <c r="B6" s="5" t="s">
        <v>24</v>
      </c>
      <c r="C6" s="5" t="s">
        <v>3</v>
      </c>
      <c r="D6" s="5" t="s">
        <v>25</v>
      </c>
      <c r="E6" s="5" t="s">
        <v>5</v>
      </c>
      <c r="F6" s="5">
        <v>30</v>
      </c>
      <c r="G6" s="6">
        <v>43409</v>
      </c>
      <c r="H6" s="5">
        <v>72000</v>
      </c>
      <c r="I6" s="5">
        <v>1</v>
      </c>
      <c r="J6" s="5" t="s">
        <v>26</v>
      </c>
      <c r="K6" s="5" t="str" cm="1">
        <f t="array" ref="K6">_xlfn.SWITCH(I6,1,"Good",2,"Better",3,"Best",4,"Worst","Invalid Entry")</f>
        <v>Good</v>
      </c>
      <c r="L6" s="5"/>
    </row>
    <row r="7" spans="1:12">
      <c r="A7" s="5" t="s">
        <v>27</v>
      </c>
      <c r="B7" s="5" t="s">
        <v>28</v>
      </c>
      <c r="C7" s="5" t="s">
        <v>29</v>
      </c>
      <c r="D7" s="5" t="s">
        <v>30</v>
      </c>
      <c r="E7" s="5" t="s">
        <v>11</v>
      </c>
      <c r="F7" s="5">
        <v>35</v>
      </c>
      <c r="G7" s="6">
        <v>42961</v>
      </c>
      <c r="H7" s="5">
        <v>38000</v>
      </c>
      <c r="I7" s="5">
        <v>4</v>
      </c>
      <c r="J7" s="5" t="s">
        <v>31</v>
      </c>
      <c r="K7" s="5" t="str" cm="1">
        <f t="array" ref="K7">_xlfn.SWITCH(I7,1,"Good",2,"Better",3,"Best",4,"Worst","Invalid Entry")</f>
        <v>Worst</v>
      </c>
      <c r="L7" s="5"/>
    </row>
    <row r="8" spans="1:12">
      <c r="A8" s="5" t="s">
        <v>32</v>
      </c>
      <c r="B8" s="5" t="s">
        <v>33</v>
      </c>
      <c r="C8" s="5" t="s">
        <v>34</v>
      </c>
      <c r="D8" s="5" t="s">
        <v>35</v>
      </c>
      <c r="E8" s="5" t="s">
        <v>5</v>
      </c>
      <c r="F8" s="5">
        <v>40</v>
      </c>
      <c r="G8" s="6">
        <v>42024</v>
      </c>
      <c r="H8" s="5">
        <v>90000</v>
      </c>
      <c r="I8" s="5">
        <v>4</v>
      </c>
      <c r="J8" s="5" t="s">
        <v>36</v>
      </c>
      <c r="K8" s="5" t="str" cm="1">
        <f t="array" ref="K8">_xlfn.SWITCH(I8,1,"Good",2,"Better",3,"Best",4,"Worst","Invalid Entry")</f>
        <v>Worst</v>
      </c>
      <c r="L8" s="5"/>
    </row>
    <row r="9" spans="1:12">
      <c r="A9" s="5" t="s">
        <v>37</v>
      </c>
      <c r="B9" s="5" t="s">
        <v>38</v>
      </c>
      <c r="C9" s="5" t="s">
        <v>3</v>
      </c>
      <c r="D9" s="5" t="s">
        <v>39</v>
      </c>
      <c r="E9" s="5" t="s">
        <v>11</v>
      </c>
      <c r="F9" s="5">
        <v>29</v>
      </c>
      <c r="G9" s="6">
        <v>44377</v>
      </c>
      <c r="H9" s="5">
        <v>60000</v>
      </c>
      <c r="I9" s="5">
        <v>4</v>
      </c>
      <c r="J9" s="5" t="s">
        <v>6</v>
      </c>
      <c r="K9" s="5" t="str" cm="1">
        <f t="array" ref="K9">_xlfn.SWITCH(I9,1,"Good",2,"Better",3,"Best",4,"Worst","Invalid Entry")</f>
        <v>Worst</v>
      </c>
      <c r="L9" s="5"/>
    </row>
    <row r="10" spans="1:12">
      <c r="A10" s="5" t="s">
        <v>40</v>
      </c>
      <c r="B10" s="5" t="s">
        <v>41</v>
      </c>
      <c r="C10" s="5" t="s">
        <v>42</v>
      </c>
      <c r="D10" s="5" t="s">
        <v>43</v>
      </c>
      <c r="E10" s="5" t="s">
        <v>5</v>
      </c>
      <c r="F10" s="5">
        <v>31</v>
      </c>
      <c r="G10" s="6">
        <v>43723</v>
      </c>
      <c r="H10" s="5">
        <v>55000</v>
      </c>
      <c r="I10" s="5">
        <v>2</v>
      </c>
      <c r="J10" s="5" t="s">
        <v>44</v>
      </c>
      <c r="K10" s="5" t="str" cm="1">
        <f t="array" ref="K10">_xlfn.SWITCH(I10,1,"Good",2,"Better",3,"Best",4,"Worst","Invalid Entry")</f>
        <v>Better</v>
      </c>
      <c r="L10" s="5"/>
    </row>
    <row r="11" spans="1:12">
      <c r="A11" s="5" t="s">
        <v>45</v>
      </c>
      <c r="B11" s="5" t="s">
        <v>48</v>
      </c>
      <c r="C11" s="5" t="s">
        <v>9</v>
      </c>
      <c r="D11" s="5" t="s">
        <v>46</v>
      </c>
      <c r="E11" s="5" t="s">
        <v>11</v>
      </c>
      <c r="F11" s="5">
        <v>25</v>
      </c>
      <c r="G11" s="6">
        <v>44935</v>
      </c>
      <c r="H11" s="5">
        <v>42000</v>
      </c>
      <c r="I11" s="5">
        <v>4</v>
      </c>
      <c r="J11" s="5" t="s">
        <v>47</v>
      </c>
      <c r="K11" s="5" t="str" cm="1">
        <f t="array" ref="K11">_xlfn.SWITCH(I11,1,"Good",2,"Better",3,"Best",4,"Worst","Invalid Entry")</f>
        <v>Worst</v>
      </c>
      <c r="L11" s="5"/>
    </row>
    <row r="13" spans="1:12" ht="28.5">
      <c r="A13" s="91" t="str">
        <f>UPPER("Functions With Examples")</f>
        <v>FUNCTIONS WITH EXAMPLES</v>
      </c>
      <c r="B13" s="91"/>
      <c r="C13" s="91"/>
      <c r="D13" s="91"/>
      <c r="E13" s="91"/>
      <c r="F13" s="91"/>
      <c r="G13" s="91"/>
      <c r="H13" s="91"/>
      <c r="I13" s="91"/>
      <c r="J13" s="91"/>
      <c r="K13" s="91"/>
    </row>
    <row r="14" spans="1:12">
      <c r="A14" s="3" t="s">
        <v>58</v>
      </c>
    </row>
    <row r="15" spans="1:12">
      <c r="A15" s="4">
        <f>SUM(H2:H11)</f>
        <v>567000</v>
      </c>
    </row>
    <row r="16" spans="1:12" ht="15" thickBot="1">
      <c r="A16" s="3" t="s">
        <v>59</v>
      </c>
      <c r="D16" s="2" t="s">
        <v>51</v>
      </c>
      <c r="E16" s="2" t="s">
        <v>57</v>
      </c>
      <c r="G16" s="4" t="str">
        <f>DGET(Table1[[#All],[Employee Name]:[Employee City]],Table1[[#Headers],[Employee City]],D16:D17)</f>
        <v>Bengaluru</v>
      </c>
    </row>
    <row r="17" spans="1:9" ht="15" thickTop="1">
      <c r="A17" s="4">
        <f>AVERAGE(H1:H11)</f>
        <v>56700</v>
      </c>
      <c r="D17" s="7" t="s">
        <v>4</v>
      </c>
      <c r="E17" s="7" t="s">
        <v>5</v>
      </c>
    </row>
    <row r="18" spans="1:9">
      <c r="A18" s="3" t="s">
        <v>60</v>
      </c>
    </row>
    <row r="19" spans="1:9">
      <c r="A19" s="4">
        <f>MAX(H1:H11)</f>
        <v>90000</v>
      </c>
    </row>
    <row r="20" spans="1:9">
      <c r="A20" s="3" t="s">
        <v>61</v>
      </c>
    </row>
    <row r="21" spans="1:9">
      <c r="A21" s="4">
        <f>MIN(H1:H11)</f>
        <v>38000</v>
      </c>
    </row>
    <row r="22" spans="1:9">
      <c r="A22" s="3" t="s">
        <v>62</v>
      </c>
    </row>
    <row r="23" spans="1:9" ht="15" thickBot="1">
      <c r="A23" s="4" t="b">
        <f>IF(F2 = 28,TRUE, FALSE)</f>
        <v>1</v>
      </c>
      <c r="D23" s="2" t="s">
        <v>51</v>
      </c>
      <c r="E23" s="2" t="s">
        <v>57</v>
      </c>
      <c r="G23" s="4" t="str">
        <f>DGET(Table1[[#All],[Employee Name]:[Employee City]],Table1[[#Headers],[Employee Name]],D23:E24)</f>
        <v>Priya Sharma</v>
      </c>
    </row>
    <row r="24" spans="1:9" ht="15" thickTop="1">
      <c r="A24" s="3" t="s">
        <v>65</v>
      </c>
      <c r="D24" s="8" t="s">
        <v>10</v>
      </c>
      <c r="E24" s="8" t="s">
        <v>11</v>
      </c>
    </row>
    <row r="25" spans="1:9">
      <c r="A25" s="4">
        <f>COUNT(A2:J11)</f>
        <v>40</v>
      </c>
    </row>
    <row r="26" spans="1:9">
      <c r="A26" s="3" t="s">
        <v>63</v>
      </c>
      <c r="B26" s="92"/>
      <c r="C26" s="92"/>
      <c r="D26" s="92"/>
      <c r="E26" s="92"/>
      <c r="F26" s="92"/>
      <c r="G26" s="92"/>
      <c r="H26" s="92"/>
      <c r="I26" s="92"/>
    </row>
    <row r="27" spans="1:9">
      <c r="A27" s="4">
        <f>COUNTA(A2:J11)</f>
        <v>100</v>
      </c>
      <c r="C27" s="93" t="s">
        <v>134</v>
      </c>
      <c r="D27" s="93"/>
    </row>
    <row r="28" spans="1:9">
      <c r="A28" s="3" t="s">
        <v>64</v>
      </c>
      <c r="C28" s="4" t="s">
        <v>135</v>
      </c>
    </row>
    <row r="29" spans="1:9">
      <c r="A29" s="4">
        <f>COUNTBLANK(A2:K11)</f>
        <v>0</v>
      </c>
      <c r="C29" s="4" t="s">
        <v>136</v>
      </c>
    </row>
    <row r="30" spans="1:9">
      <c r="A30" s="3" t="s">
        <v>66</v>
      </c>
      <c r="C30" s="4" t="s">
        <v>137</v>
      </c>
    </row>
    <row r="31" spans="1:9">
      <c r="A31" s="4" t="str">
        <f>LEFT("PRIYA SHARMA",1)</f>
        <v>P</v>
      </c>
      <c r="C31" s="4" t="s">
        <v>138</v>
      </c>
    </row>
    <row r="32" spans="1:9">
      <c r="A32" s="3" t="s">
        <v>67</v>
      </c>
    </row>
    <row r="33" spans="1:1">
      <c r="A33" s="4" t="str">
        <f>RIGHT("SRIDHARA",1)</f>
        <v>A</v>
      </c>
    </row>
    <row r="34" spans="1:1">
      <c r="A34" s="3" t="s">
        <v>68</v>
      </c>
    </row>
    <row r="35" spans="1:1">
      <c r="A35" s="4" t="str">
        <f>MID("SRIDHARA",1,3)</f>
        <v>SRI</v>
      </c>
    </row>
    <row r="36" spans="1:1">
      <c r="A36" s="3" t="s">
        <v>69</v>
      </c>
    </row>
    <row r="37" spans="1:1">
      <c r="A37" s="4" t="str">
        <f>UPPER("panigrahy_analytics")</f>
        <v>PANIGRAHY_ANALYTICS</v>
      </c>
    </row>
    <row r="38" spans="1:1">
      <c r="A38" s="3" t="s">
        <v>70</v>
      </c>
    </row>
    <row r="39" spans="1:1">
      <c r="A39" s="4" t="str">
        <f>LOWER("PANIGRAHY")</f>
        <v>panigrahy</v>
      </c>
    </row>
    <row r="40" spans="1:1">
      <c r="A40" s="3" t="s">
        <v>71</v>
      </c>
    </row>
    <row r="41" spans="1:1">
      <c r="A41" s="4">
        <f>LEN("PANIGRAHY_ANALYTICS")</f>
        <v>19</v>
      </c>
    </row>
    <row r="42" spans="1:1">
      <c r="A42" s="3" t="s">
        <v>72</v>
      </c>
    </row>
    <row r="43" spans="1:1">
      <c r="A43" s="4" t="str">
        <f>_xlfn.CONCAT(B2,C2)</f>
        <v>Rajesh KumarIT</v>
      </c>
    </row>
    <row r="44" spans="1:1">
      <c r="A44" s="3" t="s">
        <v>73</v>
      </c>
    </row>
    <row r="45" spans="1:1">
      <c r="A45" s="9" t="str">
        <f>_xlfn.TEXTJOIN("", TRUE, B2:B11, Table1[Employee Dept.])</f>
        <v>Rajesh KumarPriya SharmaArjun MehtaNeha PatelSandeep ReddyKavita DasAnil VermaSneha NairRohit SinghMeena Joshi ITHRFinanceMarketingITAdminOperationsITSalesHR</v>
      </c>
    </row>
    <row r="46" spans="1:1">
      <c r="A46" s="3" t="s">
        <v>74</v>
      </c>
    </row>
    <row r="47" spans="1:1">
      <c r="A47" s="4" t="str">
        <f>IFERROR(1000/0,"NOT ABLE TO DIVIDE")</f>
        <v>NOT ABLE TO DIVIDE</v>
      </c>
    </row>
    <row r="48" spans="1:1">
      <c r="A48" s="3" t="s">
        <v>75</v>
      </c>
    </row>
    <row r="49" spans="1:12">
      <c r="A49" s="4" t="b" cm="1">
        <f t="array" ref="A49:L58">ISBLANK(A2:L11)</f>
        <v>0</v>
      </c>
      <c r="B49" s="4" t="b">
        <v>0</v>
      </c>
      <c r="C49" s="4" t="b">
        <v>0</v>
      </c>
      <c r="D49" s="4" t="b">
        <v>0</v>
      </c>
      <c r="E49" s="4" t="b">
        <v>0</v>
      </c>
      <c r="F49" s="4" t="b">
        <v>0</v>
      </c>
      <c r="G49" s="4" t="b">
        <v>0</v>
      </c>
      <c r="H49" s="4" t="b">
        <v>0</v>
      </c>
      <c r="I49" s="4" t="b">
        <v>0</v>
      </c>
      <c r="J49" s="4" t="b">
        <v>0</v>
      </c>
      <c r="K49" s="4" t="b">
        <v>0</v>
      </c>
      <c r="L49" s="23" t="b">
        <v>1</v>
      </c>
    </row>
    <row r="50" spans="1:12">
      <c r="A50" s="4" t="b">
        <v>0</v>
      </c>
      <c r="B50" s="4" t="b">
        <v>0</v>
      </c>
      <c r="C50" s="4" t="b">
        <v>0</v>
      </c>
      <c r="D50" s="4" t="b">
        <v>0</v>
      </c>
      <c r="E50" s="4" t="b">
        <v>0</v>
      </c>
      <c r="F50" s="4" t="b">
        <v>0</v>
      </c>
      <c r="G50" s="4" t="b">
        <v>0</v>
      </c>
      <c r="H50" s="4" t="b">
        <v>0</v>
      </c>
      <c r="I50" s="4" t="b">
        <v>0</v>
      </c>
      <c r="J50" s="4" t="b">
        <v>0</v>
      </c>
      <c r="K50" s="4" t="b">
        <v>0</v>
      </c>
      <c r="L50" t="b">
        <v>1</v>
      </c>
    </row>
    <row r="51" spans="1:12">
      <c r="A51" s="4" t="b">
        <v>0</v>
      </c>
      <c r="B51" s="4" t="b">
        <v>0</v>
      </c>
      <c r="C51" s="4" t="b">
        <v>0</v>
      </c>
      <c r="D51" s="4" t="b">
        <v>0</v>
      </c>
      <c r="E51" s="4" t="b">
        <v>0</v>
      </c>
      <c r="F51" s="4" t="b">
        <v>0</v>
      </c>
      <c r="G51" s="4" t="b">
        <v>0</v>
      </c>
      <c r="H51" s="4" t="b">
        <v>0</v>
      </c>
      <c r="I51" s="4" t="b">
        <v>0</v>
      </c>
      <c r="J51" s="4" t="b">
        <v>0</v>
      </c>
      <c r="K51" s="4" t="b">
        <v>0</v>
      </c>
      <c r="L51" s="23" t="b">
        <v>1</v>
      </c>
    </row>
    <row r="52" spans="1:12">
      <c r="A52" s="4" t="b">
        <v>0</v>
      </c>
      <c r="B52" s="4" t="b">
        <v>0</v>
      </c>
      <c r="C52" s="4" t="b">
        <v>0</v>
      </c>
      <c r="D52" s="4" t="b">
        <v>0</v>
      </c>
      <c r="E52" s="4" t="b">
        <v>0</v>
      </c>
      <c r="F52" s="4" t="b">
        <v>0</v>
      </c>
      <c r="G52" s="4" t="b">
        <v>0</v>
      </c>
      <c r="H52" s="4" t="b">
        <v>0</v>
      </c>
      <c r="I52" s="4" t="b">
        <v>0</v>
      </c>
      <c r="J52" s="4" t="b">
        <v>0</v>
      </c>
      <c r="K52" s="4" t="b">
        <v>0</v>
      </c>
      <c r="L52" s="4" t="b">
        <v>1</v>
      </c>
    </row>
    <row r="53" spans="1:12">
      <c r="A53" s="4" t="b">
        <v>0</v>
      </c>
      <c r="B53" s="4" t="b">
        <v>0</v>
      </c>
      <c r="C53" s="4" t="b">
        <v>0</v>
      </c>
      <c r="D53" s="4" t="b">
        <v>0</v>
      </c>
      <c r="E53" s="4" t="b">
        <v>0</v>
      </c>
      <c r="F53" s="4" t="b">
        <v>0</v>
      </c>
      <c r="G53" s="4" t="b">
        <v>0</v>
      </c>
      <c r="H53" s="4" t="b">
        <v>0</v>
      </c>
      <c r="I53" s="4" t="b">
        <v>0</v>
      </c>
      <c r="J53" s="4" t="b">
        <v>0</v>
      </c>
      <c r="K53" s="4" t="b">
        <v>0</v>
      </c>
      <c r="L53" s="23" t="b">
        <v>1</v>
      </c>
    </row>
    <row r="54" spans="1:12">
      <c r="A54" s="4" t="b">
        <v>0</v>
      </c>
      <c r="B54" s="4" t="b">
        <v>0</v>
      </c>
      <c r="C54" s="4" t="b">
        <v>0</v>
      </c>
      <c r="D54" s="4" t="b">
        <v>0</v>
      </c>
      <c r="E54" s="4" t="b">
        <v>0</v>
      </c>
      <c r="F54" s="4" t="b">
        <v>0</v>
      </c>
      <c r="G54" s="4" t="b">
        <v>0</v>
      </c>
      <c r="H54" s="4" t="b">
        <v>0</v>
      </c>
      <c r="I54" s="4" t="b">
        <v>0</v>
      </c>
      <c r="J54" s="4" t="b">
        <v>0</v>
      </c>
      <c r="K54" s="4" t="b">
        <v>0</v>
      </c>
      <c r="L54" s="4" t="b">
        <v>1</v>
      </c>
    </row>
    <row r="55" spans="1:12">
      <c r="A55" s="4" t="b">
        <v>0</v>
      </c>
      <c r="B55" s="4" t="b">
        <v>0</v>
      </c>
      <c r="C55" s="4" t="b">
        <v>0</v>
      </c>
      <c r="D55" s="4" t="b">
        <v>0</v>
      </c>
      <c r="E55" s="4" t="b">
        <v>0</v>
      </c>
      <c r="F55" s="4" t="b">
        <v>0</v>
      </c>
      <c r="G55" s="4" t="b">
        <v>0</v>
      </c>
      <c r="H55" s="4" t="b">
        <v>0</v>
      </c>
      <c r="I55" s="4" t="b">
        <v>0</v>
      </c>
      <c r="J55" s="4" t="b">
        <v>0</v>
      </c>
      <c r="K55" s="4" t="b">
        <v>0</v>
      </c>
      <c r="L55" s="23" t="b">
        <v>1</v>
      </c>
    </row>
    <row r="56" spans="1:12">
      <c r="A56" s="4" t="b">
        <v>0</v>
      </c>
      <c r="B56" s="4" t="b">
        <v>0</v>
      </c>
      <c r="C56" s="4" t="b">
        <v>0</v>
      </c>
      <c r="D56" s="4" t="b">
        <v>0</v>
      </c>
      <c r="E56" s="4" t="b">
        <v>0</v>
      </c>
      <c r="F56" s="4" t="b">
        <v>0</v>
      </c>
      <c r="G56" s="4" t="b">
        <v>0</v>
      </c>
      <c r="H56" s="4" t="b">
        <v>0</v>
      </c>
      <c r="I56" s="4" t="b">
        <v>0</v>
      </c>
      <c r="J56" s="4" t="b">
        <v>0</v>
      </c>
      <c r="K56" s="4" t="b">
        <v>0</v>
      </c>
      <c r="L56" s="4" t="b">
        <v>1</v>
      </c>
    </row>
    <row r="57" spans="1:12">
      <c r="A57" s="4" t="b">
        <v>0</v>
      </c>
      <c r="B57" s="4" t="b">
        <v>0</v>
      </c>
      <c r="C57" s="4" t="b">
        <v>0</v>
      </c>
      <c r="D57" s="4" t="b">
        <v>0</v>
      </c>
      <c r="E57" s="4" t="b">
        <v>0</v>
      </c>
      <c r="F57" s="4" t="b">
        <v>0</v>
      </c>
      <c r="G57" s="4" t="b">
        <v>0</v>
      </c>
      <c r="H57" s="4" t="b">
        <v>0</v>
      </c>
      <c r="I57" s="4" t="b">
        <v>0</v>
      </c>
      <c r="J57" s="4" t="b">
        <v>0</v>
      </c>
      <c r="K57" s="4" t="b">
        <v>0</v>
      </c>
      <c r="L57" s="23" t="b">
        <v>1</v>
      </c>
    </row>
    <row r="58" spans="1:12">
      <c r="A58" s="4" t="b">
        <v>0</v>
      </c>
      <c r="B58" s="4" t="b">
        <v>0</v>
      </c>
      <c r="C58" s="4" t="b">
        <v>0</v>
      </c>
      <c r="D58" s="4" t="b">
        <v>0</v>
      </c>
      <c r="E58" s="4" t="b">
        <v>0</v>
      </c>
      <c r="F58" s="4" t="b">
        <v>0</v>
      </c>
      <c r="G58" s="4" t="b">
        <v>0</v>
      </c>
      <c r="H58" s="4" t="b">
        <v>0</v>
      </c>
      <c r="I58" s="4" t="b">
        <v>0</v>
      </c>
      <c r="J58" s="4" t="b">
        <v>0</v>
      </c>
      <c r="K58" s="4" t="b">
        <v>0</v>
      </c>
      <c r="L58" s="4" t="b">
        <v>1</v>
      </c>
    </row>
    <row r="60" spans="1:12">
      <c r="A60" s="3" t="s">
        <v>76</v>
      </c>
    </row>
    <row r="61" spans="1:12">
      <c r="A61" s="4" t="str" cm="1">
        <f t="array" ref="A61:A70">_xlfn.UNIQUE(D2:D11,FALSE,FALSE)</f>
        <v>Software Engineer</v>
      </c>
    </row>
    <row r="62" spans="1:12">
      <c r="A62" s="4" t="str">
        <v>HR Executive</v>
      </c>
    </row>
    <row r="63" spans="1:12">
      <c r="A63" s="4" t="str">
        <v>Accountant</v>
      </c>
    </row>
    <row r="64" spans="1:12">
      <c r="A64" s="4" t="str">
        <v>Digital Marketer</v>
      </c>
    </row>
    <row r="65" spans="1:1">
      <c r="A65" s="4" t="str">
        <v>Data Analyst</v>
      </c>
    </row>
    <row r="66" spans="1:1">
      <c r="A66" s="4" t="str">
        <v>Office Assistant</v>
      </c>
    </row>
    <row r="67" spans="1:1">
      <c r="A67" s="4" t="str">
        <v>Operations Manager</v>
      </c>
    </row>
    <row r="68" spans="1:1">
      <c r="A68" s="4" t="str">
        <v>UI/UX Designer</v>
      </c>
    </row>
    <row r="69" spans="1:1">
      <c r="A69" s="4" t="str">
        <v>Sales Executive</v>
      </c>
    </row>
    <row r="70" spans="1:1">
      <c r="A70" s="4" t="str">
        <v>Recruiter</v>
      </c>
    </row>
  </sheetData>
  <mergeCells count="3">
    <mergeCell ref="A13:K13"/>
    <mergeCell ref="B26:I26"/>
    <mergeCell ref="C27:D27"/>
  </mergeCells>
  <phoneticPr fontId="4"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B75F0-C857-4D08-A239-FCF4C7E14DE4}">
  <sheetPr codeName="Sheet1"/>
  <dimension ref="A1:T55"/>
  <sheetViews>
    <sheetView topLeftCell="A39" workbookViewId="0">
      <selection activeCell="J49" sqref="J49"/>
    </sheetView>
  </sheetViews>
  <sheetFormatPr defaultRowHeight="14.5"/>
  <cols>
    <col min="1" max="1" width="10.90625" style="4" customWidth="1"/>
    <col min="2" max="2" width="20.453125" style="20" customWidth="1"/>
    <col min="3" max="3" width="16.54296875" style="4" customWidth="1"/>
    <col min="4" max="4" width="11.36328125" style="14" customWidth="1"/>
    <col min="5" max="5" width="11.453125" style="4" customWidth="1"/>
    <col min="6" max="6" width="11" style="29" customWidth="1"/>
    <col min="7" max="7" width="9.6328125" style="4" customWidth="1"/>
    <col min="8" max="8" width="9.81640625" style="4" bestFit="1" customWidth="1"/>
    <col min="9" max="9" width="8.7265625" style="4"/>
    <col min="10" max="10" width="11.54296875" style="4" customWidth="1"/>
    <col min="11" max="11" width="8.7265625" style="4"/>
    <col min="12" max="12" width="8.7265625" style="5"/>
    <col min="13" max="13" width="12.6328125" style="4" customWidth="1"/>
    <col min="14" max="16384" width="8.7265625" style="4"/>
  </cols>
  <sheetData>
    <row r="1" spans="1:20" ht="26">
      <c r="A1" s="94" t="s">
        <v>139</v>
      </c>
      <c r="B1" s="94"/>
      <c r="C1" s="94"/>
      <c r="D1" s="94"/>
      <c r="E1" s="94"/>
      <c r="F1" s="94"/>
      <c r="G1" s="94"/>
      <c r="H1" s="94"/>
      <c r="I1" s="94"/>
      <c r="J1" s="94"/>
      <c r="K1" s="94"/>
      <c r="L1" s="94"/>
      <c r="M1" s="94"/>
      <c r="N1" s="94"/>
      <c r="O1" s="94"/>
      <c r="P1" s="94"/>
      <c r="Q1" s="94"/>
      <c r="R1" s="94"/>
      <c r="S1" s="94"/>
      <c r="T1" s="94"/>
    </row>
    <row r="3" spans="1:20">
      <c r="A3" s="4" t="s">
        <v>133</v>
      </c>
    </row>
    <row r="4" spans="1:20" ht="21">
      <c r="A4" s="97" t="s">
        <v>181</v>
      </c>
      <c r="B4" s="97"/>
      <c r="C4" s="97"/>
      <c r="D4" s="97"/>
      <c r="E4" s="97"/>
      <c r="F4" s="97"/>
      <c r="G4" s="97"/>
      <c r="H4" s="97"/>
    </row>
    <row r="6" spans="1:20">
      <c r="L6"/>
    </row>
    <row r="7" spans="1:20" ht="23.5">
      <c r="A7" s="98" t="s">
        <v>78</v>
      </c>
      <c r="B7" s="98"/>
      <c r="C7" s="98"/>
      <c r="D7" s="98"/>
      <c r="E7" s="98"/>
      <c r="F7" s="98"/>
      <c r="G7" s="98"/>
      <c r="H7" s="98"/>
      <c r="I7" s="98"/>
      <c r="J7" s="98"/>
      <c r="K7" s="98"/>
      <c r="L7" s="98"/>
    </row>
    <row r="8" spans="1:20" ht="15" thickBot="1"/>
    <row r="9" spans="1:20" ht="30" thickTop="1" thickBot="1">
      <c r="A9" s="12" t="s">
        <v>79</v>
      </c>
      <c r="B9" s="22" t="s">
        <v>80</v>
      </c>
      <c r="C9" s="19" t="s">
        <v>81</v>
      </c>
      <c r="D9" s="13" t="s">
        <v>82</v>
      </c>
      <c r="E9" s="12" t="s">
        <v>83</v>
      </c>
      <c r="F9" s="30" t="s">
        <v>84</v>
      </c>
      <c r="G9" s="24" t="s">
        <v>178</v>
      </c>
      <c r="H9" s="25" t="s">
        <v>180</v>
      </c>
      <c r="I9" s="26" t="s">
        <v>182</v>
      </c>
      <c r="J9" s="27" t="s">
        <v>183</v>
      </c>
      <c r="K9" s="28" t="s">
        <v>184</v>
      </c>
      <c r="L9" s="1" t="s">
        <v>185</v>
      </c>
      <c r="M9" s="37" t="s">
        <v>186</v>
      </c>
    </row>
    <row r="10" spans="1:20" ht="15" thickTop="1">
      <c r="A10" s="11" t="s">
        <v>85</v>
      </c>
      <c r="B10" s="21" t="s">
        <v>86</v>
      </c>
      <c r="C10" s="11" t="s">
        <v>87</v>
      </c>
      <c r="D10" s="15">
        <v>45000</v>
      </c>
      <c r="E10" s="11">
        <v>5</v>
      </c>
      <c r="F10" s="31">
        <v>12.5</v>
      </c>
      <c r="G10" s="4" t="b" cm="1">
        <f t="array" ref="G10:G19">IF(F10:F19&gt;12,TRUE,FALSE)</f>
        <v>1</v>
      </c>
      <c r="H10" s="4" t="str" cm="1">
        <f t="array" ref="H10">_xlfn.IFS(
  F10&gt;=15, "EXCELLENT",
  F10&gt;=12, "GOOD",
  F10&gt;=10, "AVERAGE",
  F10&lt;10, "POOR"
)</f>
        <v>GOOD</v>
      </c>
      <c r="I10" s="4" t="str" cm="1">
        <f t="array" ref="I10:I19">_xlfn.SWITCH(C10:C19,"Mutual Fund","Low","Equity shares","High","Bonds","Medium","Fixed Deposit","Low")</f>
        <v>Low</v>
      </c>
      <c r="J10" s="4" t="b">
        <f>AND(C10="Bonds", E10&gt;=10)</f>
        <v>0</v>
      </c>
      <c r="K10" s="4" t="b">
        <f>OR(D10&gt;=50000,F10&gt;=15)</f>
        <v>0</v>
      </c>
      <c r="L10" s="5" t="b">
        <f>NOT(E10=2)</f>
        <v>1</v>
      </c>
      <c r="M10" s="14">
        <f>SUMIF(C10:C19,"=Bonds",D10:D19)</f>
        <v>210000</v>
      </c>
    </row>
    <row r="11" spans="1:20" ht="58">
      <c r="A11" s="11" t="s">
        <v>88</v>
      </c>
      <c r="B11" s="21" t="s">
        <v>89</v>
      </c>
      <c r="C11" s="11" t="s">
        <v>90</v>
      </c>
      <c r="D11" s="16">
        <v>60000</v>
      </c>
      <c r="E11" s="11">
        <v>11</v>
      </c>
      <c r="F11" s="31">
        <v>10.199999999999999</v>
      </c>
      <c r="G11" s="5" t="b">
        <v>0</v>
      </c>
      <c r="H11" s="5" t="str" cm="1">
        <f t="array" ref="H11">_xlfn.IFS(
  F11&gt;=15, "EXCELLENT",
  F11&gt;=12, "GOOD",
  F11&gt;=10, "AVERAGE",
  F11&lt;10, "POOR"
)</f>
        <v>AVERAGE</v>
      </c>
      <c r="I11" s="5" t="str">
        <v>Medium</v>
      </c>
      <c r="J11" s="5" t="b">
        <f t="shared" ref="J11:J19" si="0">AND(C11="Bonds", E11&gt;=10)</f>
        <v>1</v>
      </c>
      <c r="K11" s="5" t="b">
        <f t="shared" ref="K11:K19" si="1">OR(D11&gt;=50000,F11&gt;=15)</f>
        <v>1</v>
      </c>
      <c r="L11" s="5" t="b">
        <f t="shared" ref="L11:L19" si="2">NOT(E11=2)</f>
        <v>1</v>
      </c>
      <c r="M11" s="37" t="s">
        <v>187</v>
      </c>
    </row>
    <row r="12" spans="1:20">
      <c r="A12" s="11" t="s">
        <v>91</v>
      </c>
      <c r="B12" s="21" t="s">
        <v>92</v>
      </c>
      <c r="C12" s="11" t="s">
        <v>93</v>
      </c>
      <c r="D12" s="16">
        <v>25000</v>
      </c>
      <c r="E12" s="11">
        <v>3</v>
      </c>
      <c r="F12" s="31">
        <v>15</v>
      </c>
      <c r="G12" s="4" t="b">
        <v>1</v>
      </c>
      <c r="H12" s="4" t="str" cm="1">
        <f t="array" ref="H12">_xlfn.IFS(
  F12&gt;=15, "EXCELLENT",
  F12&gt;=12, "GOOD",
  F12&gt;=10, "AVERAGE",
  F12&lt;10, "POOR"
)</f>
        <v>EXCELLENT</v>
      </c>
      <c r="I12" s="4" t="str">
        <v>High</v>
      </c>
      <c r="J12" s="4" t="b">
        <f t="shared" si="0"/>
        <v>0</v>
      </c>
      <c r="K12" s="4" t="b">
        <f t="shared" si="1"/>
        <v>1</v>
      </c>
      <c r="L12" s="5" t="b">
        <f t="shared" si="2"/>
        <v>1</v>
      </c>
      <c r="M12" s="4">
        <f>COUNTIF(F10:F19,"&gt;=12")</f>
        <v>5</v>
      </c>
    </row>
    <row r="13" spans="1:20" ht="58">
      <c r="A13" s="11" t="s">
        <v>94</v>
      </c>
      <c r="B13" s="21" t="s">
        <v>95</v>
      </c>
      <c r="C13" s="11" t="s">
        <v>87</v>
      </c>
      <c r="D13" s="16">
        <v>55000</v>
      </c>
      <c r="E13" s="11">
        <v>6</v>
      </c>
      <c r="F13" s="31">
        <v>13.8</v>
      </c>
      <c r="G13" s="5" t="b">
        <v>1</v>
      </c>
      <c r="H13" s="5" t="str" cm="1">
        <f t="array" ref="H13">_xlfn.IFS(
  F13&gt;=15, "EXCELLENT",
  F13&gt;=12, "GOOD",
  F13&gt;=10, "AVERAGE",
  F13&lt;10, "POOR"
)</f>
        <v>GOOD</v>
      </c>
      <c r="I13" s="5" t="str">
        <v>Low</v>
      </c>
      <c r="J13" s="5" t="b">
        <f t="shared" si="0"/>
        <v>0</v>
      </c>
      <c r="K13" s="4" t="b">
        <f t="shared" si="1"/>
        <v>1</v>
      </c>
      <c r="L13" s="5" t="b">
        <f t="shared" si="2"/>
        <v>1</v>
      </c>
      <c r="M13" s="38" t="s">
        <v>188</v>
      </c>
    </row>
    <row r="14" spans="1:20">
      <c r="A14" s="11" t="s">
        <v>96</v>
      </c>
      <c r="B14" s="21" t="s">
        <v>97</v>
      </c>
      <c r="C14" s="11" t="s">
        <v>90</v>
      </c>
      <c r="D14" s="16">
        <v>80000</v>
      </c>
      <c r="E14" s="11">
        <v>12</v>
      </c>
      <c r="F14" s="31">
        <v>9.5</v>
      </c>
      <c r="G14" s="4" t="b">
        <v>0</v>
      </c>
      <c r="H14" s="4" t="str" cm="1">
        <f t="array" ref="H14">_xlfn.IFS(
  F14&gt;=15, "EXCELLENT",
  F14&gt;=12, "GOOD",
  F14&gt;=10, "AVERAGE",
  F14&lt;10, "POOR"
)</f>
        <v>POOR</v>
      </c>
      <c r="I14" s="4" t="str">
        <v>Medium</v>
      </c>
      <c r="J14" s="4" t="b">
        <f t="shared" si="0"/>
        <v>1</v>
      </c>
      <c r="K14" s="4" t="b">
        <f t="shared" si="1"/>
        <v>1</v>
      </c>
      <c r="L14" s="5" t="b">
        <f t="shared" si="2"/>
        <v>1</v>
      </c>
      <c r="M14" s="4">
        <f>AVERAGEIF(C10:C19,"Mutual Fund",F10:F19)</f>
        <v>11.733333333333334</v>
      </c>
    </row>
    <row r="15" spans="1:20" ht="87">
      <c r="A15" s="11" t="s">
        <v>98</v>
      </c>
      <c r="B15" s="21" t="s">
        <v>99</v>
      </c>
      <c r="C15" s="11" t="s">
        <v>93</v>
      </c>
      <c r="D15" s="16">
        <v>30000</v>
      </c>
      <c r="E15" s="11">
        <v>4</v>
      </c>
      <c r="F15" s="31">
        <v>14.7</v>
      </c>
      <c r="G15" s="5" t="b">
        <v>1</v>
      </c>
      <c r="H15" s="5" t="str" cm="1">
        <f t="array" ref="H15">_xlfn.IFS(
  F15&gt;=15, "EXCELLENT",
  F15&gt;=12, "GOOD",
  F15&gt;=10, "AVERAGE",
  F15&lt;10, "POOR"
)</f>
        <v>GOOD</v>
      </c>
      <c r="I15" s="5" t="str">
        <v>High</v>
      </c>
      <c r="J15" s="5" t="b">
        <f t="shared" si="0"/>
        <v>0</v>
      </c>
      <c r="K15" s="5" t="b">
        <f t="shared" si="1"/>
        <v>0</v>
      </c>
      <c r="L15" s="5" t="b">
        <f t="shared" si="2"/>
        <v>1</v>
      </c>
      <c r="M15" s="37" t="s">
        <v>189</v>
      </c>
    </row>
    <row r="16" spans="1:20" ht="29">
      <c r="A16" s="11" t="s">
        <v>100</v>
      </c>
      <c r="B16" s="21" t="s">
        <v>101</v>
      </c>
      <c r="C16" s="11" t="s">
        <v>87</v>
      </c>
      <c r="D16" s="16">
        <v>35000</v>
      </c>
      <c r="E16" s="11">
        <v>2</v>
      </c>
      <c r="F16" s="31">
        <v>8.9</v>
      </c>
      <c r="G16" s="5" t="b">
        <v>0</v>
      </c>
      <c r="H16" s="5" t="str" cm="1">
        <f t="array" ref="H16">_xlfn.IFS(
  F16&gt;=15, "EXCELLENT",
  F16&gt;=12, "GOOD",
  F16&gt;=10, "AVERAGE",
  F16&lt;10, "POOR"
)</f>
        <v>POOR</v>
      </c>
      <c r="I16" s="5" t="str">
        <v>Low</v>
      </c>
      <c r="J16" s="5" t="b">
        <f t="shared" si="0"/>
        <v>0</v>
      </c>
      <c r="K16" s="5" t="b">
        <f t="shared" si="1"/>
        <v>0</v>
      </c>
      <c r="L16" s="5" t="b">
        <f t="shared" si="2"/>
        <v>0</v>
      </c>
      <c r="M16" s="5">
        <f>SUMIFS(D10:D19,C10:C19,"=Mutual Fund",E10:E19,"&gt;=5")</f>
        <v>100000</v>
      </c>
    </row>
    <row r="17" spans="1:12">
      <c r="A17" s="11" t="s">
        <v>102</v>
      </c>
      <c r="B17" s="21" t="s">
        <v>103</v>
      </c>
      <c r="C17" s="11" t="s">
        <v>90</v>
      </c>
      <c r="D17" s="16">
        <v>70000</v>
      </c>
      <c r="E17" s="11">
        <v>7</v>
      </c>
      <c r="F17" s="31">
        <v>11</v>
      </c>
      <c r="G17" s="4" t="b">
        <v>0</v>
      </c>
      <c r="H17" s="4" t="str" cm="1">
        <f t="array" ref="H17">_xlfn.IFS(
  F17&gt;=15, "EXCELLENT",
  F17&gt;=12, "GOOD",
  F17&gt;=10, "AVERAGE",
  F17&lt;10, "POOR"
)</f>
        <v>AVERAGE</v>
      </c>
      <c r="I17" s="4" t="str">
        <v>Medium</v>
      </c>
      <c r="J17" s="4" t="b">
        <f t="shared" si="0"/>
        <v>0</v>
      </c>
      <c r="K17" s="4" t="b">
        <f t="shared" si="1"/>
        <v>1</v>
      </c>
      <c r="L17" s="5" t="b">
        <f t="shared" si="2"/>
        <v>1</v>
      </c>
    </row>
    <row r="18" spans="1:12" ht="29">
      <c r="A18" s="11" t="s">
        <v>104</v>
      </c>
      <c r="B18" s="21" t="s">
        <v>105</v>
      </c>
      <c r="C18" s="11" t="s">
        <v>93</v>
      </c>
      <c r="D18" s="16">
        <v>20000</v>
      </c>
      <c r="E18" s="11">
        <v>5</v>
      </c>
      <c r="F18" s="31">
        <v>16.2</v>
      </c>
      <c r="G18" s="4" t="b">
        <v>1</v>
      </c>
      <c r="H18" s="4" t="str" cm="1">
        <f t="array" ref="H18">_xlfn.IFS(
  F18&gt;=15, "EXCELLENT",
  F18&gt;=12, "GOOD",
  F18&gt;=10, "AVERAGE",
  F18&lt;10, "POOR"
)</f>
        <v>EXCELLENT</v>
      </c>
      <c r="I18" s="4" t="str">
        <v>High</v>
      </c>
      <c r="J18" s="4" t="b">
        <f t="shared" si="0"/>
        <v>0</v>
      </c>
      <c r="K18" s="4" t="b">
        <f t="shared" si="1"/>
        <v>1</v>
      </c>
      <c r="L18" s="5" t="b">
        <f t="shared" si="2"/>
        <v>1</v>
      </c>
    </row>
    <row r="19" spans="1:12">
      <c r="A19" s="11" t="s">
        <v>106</v>
      </c>
      <c r="B19" s="21" t="s">
        <v>107</v>
      </c>
      <c r="C19" s="11" t="s">
        <v>107</v>
      </c>
      <c r="D19" s="16">
        <v>90000</v>
      </c>
      <c r="E19" s="11">
        <v>2</v>
      </c>
      <c r="F19" s="31">
        <v>7.5</v>
      </c>
      <c r="G19" s="4" t="b">
        <v>0</v>
      </c>
      <c r="H19" s="4" t="str" cm="1">
        <f t="array" ref="H19">_xlfn.IFS(
  F19&gt;=15, "EXCELLENT",
  F19&gt;=12, "GOOD",
  F19&gt;=10, "AVERAGE",
  F19&lt;10, "POOR"
)</f>
        <v>POOR</v>
      </c>
      <c r="I19" s="4" t="str">
        <v>Low</v>
      </c>
      <c r="J19" s="4" t="b">
        <f t="shared" si="0"/>
        <v>0</v>
      </c>
      <c r="K19" s="4" t="b">
        <f t="shared" si="1"/>
        <v>1</v>
      </c>
      <c r="L19" s="5" t="b">
        <f t="shared" si="2"/>
        <v>0</v>
      </c>
    </row>
    <row r="21" spans="1:12">
      <c r="A21" s="96"/>
      <c r="B21" s="96"/>
      <c r="C21" s="96"/>
      <c r="D21" s="96"/>
      <c r="E21" s="96"/>
      <c r="F21" s="96"/>
    </row>
    <row r="22" spans="1:12" ht="17.5">
      <c r="A22" s="95" t="s">
        <v>108</v>
      </c>
      <c r="B22" s="95"/>
    </row>
    <row r="24" spans="1:12" ht="15.5">
      <c r="A24" s="18" t="s">
        <v>109</v>
      </c>
    </row>
    <row r="25" spans="1:12">
      <c r="A25" s="5"/>
    </row>
    <row r="26" spans="1:12">
      <c r="A26" s="17" t="s">
        <v>110</v>
      </c>
      <c r="D26" s="14" t="s">
        <v>179</v>
      </c>
    </row>
    <row r="27" spans="1:12">
      <c r="A27" s="17" t="s">
        <v>111</v>
      </c>
      <c r="D27" s="14" t="s">
        <v>179</v>
      </c>
    </row>
    <row r="28" spans="1:12">
      <c r="A28" s="17" t="s">
        <v>112</v>
      </c>
    </row>
    <row r="29" spans="1:12">
      <c r="A29" s="17" t="s">
        <v>113</v>
      </c>
    </row>
    <row r="30" spans="1:12">
      <c r="A30" s="17" t="s">
        <v>114</v>
      </c>
    </row>
    <row r="31" spans="1:12">
      <c r="A31" s="17" t="s">
        <v>115</v>
      </c>
    </row>
    <row r="32" spans="1:12">
      <c r="A32" s="17" t="s">
        <v>116</v>
      </c>
      <c r="D32" s="14" t="s">
        <v>179</v>
      </c>
    </row>
    <row r="33" spans="1:9">
      <c r="A33" s="17" t="s">
        <v>117</v>
      </c>
    </row>
    <row r="34" spans="1:9">
      <c r="A34" s="17" t="s">
        <v>118</v>
      </c>
    </row>
    <row r="35" spans="1:9">
      <c r="A35" s="17" t="s">
        <v>119</v>
      </c>
    </row>
    <row r="36" spans="1:9">
      <c r="A36" s="17" t="s">
        <v>120</v>
      </c>
    </row>
    <row r="37" spans="1:9">
      <c r="A37" s="17" t="s">
        <v>121</v>
      </c>
      <c r="E37" s="4" t="s">
        <v>179</v>
      </c>
    </row>
    <row r="38" spans="1:9">
      <c r="A38" s="17" t="s">
        <v>122</v>
      </c>
      <c r="E38" s="4" t="s">
        <v>179</v>
      </c>
    </row>
    <row r="39" spans="1:9">
      <c r="A39" s="10" t="s">
        <v>123</v>
      </c>
      <c r="E39" s="4" t="s">
        <v>179</v>
      </c>
    </row>
    <row r="40" spans="1:9">
      <c r="A40" s="9"/>
    </row>
    <row r="41" spans="1:9" ht="15.5">
      <c r="A41" s="18" t="s">
        <v>124</v>
      </c>
    </row>
    <row r="42" spans="1:9">
      <c r="A42" s="17"/>
    </row>
    <row r="43" spans="1:9">
      <c r="A43" s="17" t="s">
        <v>125</v>
      </c>
      <c r="D43" s="14" t="s">
        <v>179</v>
      </c>
    </row>
    <row r="44" spans="1:9">
      <c r="A44" s="17" t="s">
        <v>126</v>
      </c>
      <c r="D44" s="14" t="s">
        <v>179</v>
      </c>
    </row>
    <row r="45" spans="1:9">
      <c r="A45" s="17" t="s">
        <v>127</v>
      </c>
      <c r="E45" s="4" t="s">
        <v>179</v>
      </c>
    </row>
    <row r="46" spans="1:9">
      <c r="A46" s="17" t="s">
        <v>128</v>
      </c>
      <c r="F46" s="29" t="s">
        <v>179</v>
      </c>
    </row>
    <row r="47" spans="1:9">
      <c r="A47" s="17" t="s">
        <v>129</v>
      </c>
      <c r="H47" s="3">
        <f>AVERAGEIFS(F10:F19,$D10:$D19,"&gt;=75000",E10:E19,"&lt;=2")</f>
        <v>7.5</v>
      </c>
      <c r="I47"/>
    </row>
    <row r="48" spans="1:9" ht="15" thickBot="1">
      <c r="A48" s="17" t="s">
        <v>130</v>
      </c>
      <c r="H48" s="39">
        <f>COUNTIFS(C10:C19,"=Equity Shares",D10:D19,"&gt;=25000",F10:F19,"&gt;=15")</f>
        <v>1</v>
      </c>
    </row>
    <row r="49" spans="1:8" ht="15.5" thickTop="1" thickBot="1">
      <c r="A49" s="17" t="s">
        <v>131</v>
      </c>
      <c r="H49" s="40">
        <f>_xlfn.MAXIFS(F10:F19,C10:C19,"=Mutual Fund")</f>
        <v>13.8</v>
      </c>
    </row>
    <row r="50" spans="1:8" ht="15" thickTop="1">
      <c r="A50" s="17" t="s">
        <v>132</v>
      </c>
      <c r="H50" s="41">
        <f>_xlfn.MINIFS(D10:D19,C10:C19,"=Equity Shares",E10:E19,"&lt;=3")</f>
        <v>25000</v>
      </c>
    </row>
    <row r="51" spans="1:8">
      <c r="A51" s="9"/>
    </row>
    <row r="54" spans="1:8">
      <c r="A54" s="9"/>
    </row>
    <row r="55" spans="1:8">
      <c r="A55" s="9"/>
    </row>
  </sheetData>
  <mergeCells count="5">
    <mergeCell ref="A1:T1"/>
    <mergeCell ref="A22:B22"/>
    <mergeCell ref="A21:F21"/>
    <mergeCell ref="A4:H4"/>
    <mergeCell ref="A7:L7"/>
  </mergeCells>
  <conditionalFormatting sqref="A8">
    <cfRule type="cellIs" dxfId="31" priority="19" operator="greaterThan">
      <formula>2000</formula>
    </cfRule>
  </conditionalFormatting>
  <conditionalFormatting sqref="B1 B22:B1048576 B5:B6 B3 B8:B20">
    <cfRule type="duplicateValues" dxfId="30" priority="10"/>
    <cfRule type="top10" dxfId="29" priority="11" percent="1" rank="10"/>
  </conditionalFormatting>
  <conditionalFormatting sqref="C1 C3 C5:C6 C8:C20 C22:C1048576">
    <cfRule type="containsText" dxfId="28" priority="12" operator="containsText" text="M">
      <formula>NOT(ISERROR(SEARCH("M",C1)))</formula>
    </cfRule>
    <cfRule type="beginsWith" dxfId="27" priority="13" operator="beginsWith" text="M">
      <formula>LEFT(C1,LEN("M"))="M"</formula>
    </cfRule>
    <cfRule type="cellIs" dxfId="26" priority="15" operator="equal">
      <formula>"Mutual Funds"</formula>
    </cfRule>
  </conditionalFormatting>
  <conditionalFormatting sqref="C22:C1048576 C1 C5:C6 C3 C8:C20">
    <cfRule type="colorScale" priority="14">
      <colorScale>
        <cfvo type="min"/>
        <cfvo type="percentile" val="50"/>
        <cfvo type="max"/>
        <color rgb="FFF8696B"/>
        <color rgb="FFFFEB84"/>
        <color rgb="FF63BE7B"/>
      </colorScale>
    </cfRule>
  </conditionalFormatting>
  <conditionalFormatting sqref="D1 D3 D5:D6 D8:D20 D22:D1048576">
    <cfRule type="cellIs" dxfId="25" priority="18" operator="greaterThan">
      <formula>55000</formula>
    </cfRule>
  </conditionalFormatting>
  <conditionalFormatting sqref="E1:E3 E5:E6 E8:E20 E22:E1048576">
    <cfRule type="cellIs" dxfId="24" priority="17" operator="greaterThan">
      <formula>5</formula>
    </cfRule>
  </conditionalFormatting>
  <conditionalFormatting sqref="F1:F3 F5:F6 F8:F20 F22:F1048576">
    <cfRule type="cellIs" dxfId="23" priority="16" operator="greaterThan">
      <formula>10</formula>
    </cfRule>
  </conditionalFormatting>
  <conditionalFormatting sqref="G1:G3 G5:G6 G8:G1048576">
    <cfRule type="cellIs" dxfId="22" priority="9" operator="equal">
      <formula>TRUE</formula>
    </cfRule>
  </conditionalFormatting>
  <conditionalFormatting sqref="H1:H3 H5:H6 H8:H1048576">
    <cfRule type="containsText" dxfId="21" priority="8" operator="containsText" text="GOOD">
      <formula>NOT(ISERROR(SEARCH("GOOD",H1)))</formula>
    </cfRule>
  </conditionalFormatting>
  <conditionalFormatting sqref="H1:H1048576">
    <cfRule type="containsText" dxfId="20" priority="6" operator="containsText" text="EXCELLENT">
      <formula>NOT(ISERROR(SEARCH("EXCELLENT",H1)))</formula>
    </cfRule>
    <cfRule type="containsText" dxfId="19" priority="7" operator="containsText" text="AVERAGE">
      <formula>NOT(ISERROR(SEARCH("AVERAGE",H1)))</formula>
    </cfRule>
  </conditionalFormatting>
  <conditionalFormatting sqref="I1:I1048576">
    <cfRule type="cellIs" dxfId="18" priority="5" operator="equal">
      <formula>"High"</formula>
    </cfRule>
  </conditionalFormatting>
  <conditionalFormatting sqref="J1:J1048576">
    <cfRule type="containsText" dxfId="17" priority="4" operator="containsText" text="True">
      <formula>NOT(ISERROR(SEARCH("True",J1)))</formula>
    </cfRule>
  </conditionalFormatting>
  <conditionalFormatting sqref="K1:K1048576">
    <cfRule type="containsText" dxfId="16" priority="3" operator="containsText" text="FALSE">
      <formula>NOT(ISERROR(SEARCH("FALSE",K1)))</formula>
    </cfRule>
  </conditionalFormatting>
  <conditionalFormatting sqref="L1:L1048576">
    <cfRule type="containsText" dxfId="15" priority="1" operator="containsText" text="FALSE">
      <formula>NOT(ISERROR(SEARCH("FALSE",L1)))</formula>
    </cfRule>
  </conditionalFormatting>
  <dataValidations count="2">
    <dataValidation type="list" allowBlank="1" showInputMessage="1" showErrorMessage="1" sqref="M9" xr:uid="{FF7989B1-4142-45BE-BD36-FBCAE76033CB}">
      <formula1>$M$10</formula1>
    </dataValidation>
    <dataValidation type="list" allowBlank="1" showInputMessage="1" showErrorMessage="1" sqref="J10" xr:uid="{751DDF8B-A11E-4CDD-8E99-AF7C852D1795}">
      <formula1>$J$11:$J$19</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E1048-5763-4B0C-8B62-5D8651233EBB}">
  <sheetPr codeName="Sheet3"/>
  <dimension ref="A5:P69"/>
  <sheetViews>
    <sheetView topLeftCell="A32" workbookViewId="0">
      <selection activeCell="J10" sqref="J10"/>
    </sheetView>
  </sheetViews>
  <sheetFormatPr defaultRowHeight="14.5"/>
  <cols>
    <col min="1" max="1" width="8.7265625" style="5"/>
    <col min="2" max="2" width="10.7265625" style="5" customWidth="1"/>
    <col min="3" max="3" width="8.7265625" style="5"/>
    <col min="4" max="4" width="8.7265625" style="35"/>
    <col min="5" max="5" width="7.6328125" style="5" customWidth="1"/>
    <col min="6" max="6" width="10.26953125" style="15" bestFit="1" customWidth="1"/>
    <col min="7" max="7" width="8.7265625" style="34"/>
    <col min="10" max="10" width="12.36328125" bestFit="1" customWidth="1"/>
    <col min="11" max="11" width="19.26953125" bestFit="1" customWidth="1"/>
    <col min="12" max="12" width="15.54296875" bestFit="1" customWidth="1"/>
    <col min="13" max="13" width="15.26953125" bestFit="1" customWidth="1"/>
    <col min="14" max="15" width="10.36328125" bestFit="1" customWidth="1"/>
    <col min="16" max="16" width="10.7265625" bestFit="1" customWidth="1"/>
  </cols>
  <sheetData>
    <row r="5" spans="1:12" ht="23.5">
      <c r="A5" s="99" t="s">
        <v>176</v>
      </c>
      <c r="B5" s="99"/>
      <c r="C5" s="99"/>
      <c r="D5" s="99"/>
      <c r="E5" s="99"/>
      <c r="F5" s="99"/>
      <c r="G5" s="99"/>
      <c r="H5" s="99"/>
      <c r="I5" s="99"/>
      <c r="J5" s="99"/>
      <c r="K5" s="99"/>
      <c r="L5" s="99"/>
    </row>
    <row r="7" spans="1:12" ht="29">
      <c r="A7" s="12" t="s">
        <v>140</v>
      </c>
      <c r="B7" s="12" t="s">
        <v>141</v>
      </c>
      <c r="C7" s="12" t="s">
        <v>142</v>
      </c>
      <c r="D7" s="30" t="s">
        <v>143</v>
      </c>
      <c r="E7" s="12" t="s">
        <v>144</v>
      </c>
      <c r="F7" s="13" t="s">
        <v>145</v>
      </c>
      <c r="G7" s="32" t="s">
        <v>146</v>
      </c>
    </row>
    <row r="8" spans="1:12">
      <c r="A8" s="11" t="s">
        <v>147</v>
      </c>
      <c r="B8" s="11" t="s">
        <v>148</v>
      </c>
      <c r="C8" s="11" t="s">
        <v>149</v>
      </c>
      <c r="D8" s="31">
        <v>15</v>
      </c>
      <c r="E8" s="11">
        <v>800</v>
      </c>
      <c r="F8" s="16">
        <v>12000</v>
      </c>
      <c r="G8" s="33" t="s">
        <v>150</v>
      </c>
    </row>
    <row r="9" spans="1:12">
      <c r="A9" s="11" t="s">
        <v>151</v>
      </c>
      <c r="B9" s="11" t="s">
        <v>152</v>
      </c>
      <c r="C9" s="11" t="s">
        <v>153</v>
      </c>
      <c r="D9" s="31">
        <v>25</v>
      </c>
      <c r="E9" s="11">
        <v>300</v>
      </c>
      <c r="F9" s="16">
        <v>7500</v>
      </c>
      <c r="G9" s="33" t="s">
        <v>150</v>
      </c>
    </row>
    <row r="10" spans="1:12">
      <c r="A10" s="11" t="s">
        <v>154</v>
      </c>
      <c r="B10" s="11" t="s">
        <v>155</v>
      </c>
      <c r="C10" s="11" t="s">
        <v>149</v>
      </c>
      <c r="D10" s="31">
        <v>10</v>
      </c>
      <c r="E10" s="11">
        <v>800</v>
      </c>
      <c r="F10" s="16">
        <v>8000</v>
      </c>
      <c r="G10" s="33" t="s">
        <v>156</v>
      </c>
    </row>
    <row r="11" spans="1:12">
      <c r="A11" s="11" t="s">
        <v>157</v>
      </c>
      <c r="B11" s="11" t="s">
        <v>158</v>
      </c>
      <c r="C11" s="11" t="s">
        <v>159</v>
      </c>
      <c r="D11" s="31">
        <v>30</v>
      </c>
      <c r="E11" s="11">
        <v>500</v>
      </c>
      <c r="F11" s="16">
        <v>15000</v>
      </c>
      <c r="G11" s="33" t="s">
        <v>156</v>
      </c>
    </row>
    <row r="12" spans="1:12">
      <c r="A12" s="11" t="s">
        <v>147</v>
      </c>
      <c r="B12" s="11" t="s">
        <v>148</v>
      </c>
      <c r="C12" s="11" t="s">
        <v>153</v>
      </c>
      <c r="D12" s="31">
        <v>20</v>
      </c>
      <c r="E12" s="11">
        <v>300</v>
      </c>
      <c r="F12" s="16">
        <v>6000</v>
      </c>
      <c r="G12" s="33" t="s">
        <v>160</v>
      </c>
    </row>
    <row r="13" spans="1:12">
      <c r="A13" s="11" t="s">
        <v>151</v>
      </c>
      <c r="B13" s="11" t="s">
        <v>152</v>
      </c>
      <c r="C13" s="11" t="s">
        <v>159</v>
      </c>
      <c r="D13" s="31">
        <v>18</v>
      </c>
      <c r="E13" s="11">
        <v>500</v>
      </c>
      <c r="F13" s="16">
        <v>9000</v>
      </c>
      <c r="G13" s="33" t="s">
        <v>160</v>
      </c>
    </row>
    <row r="14" spans="1:12">
      <c r="A14" s="11" t="s">
        <v>154</v>
      </c>
      <c r="B14" s="11" t="s">
        <v>155</v>
      </c>
      <c r="C14" s="11" t="s">
        <v>149</v>
      </c>
      <c r="D14" s="31">
        <v>12</v>
      </c>
      <c r="E14" s="11">
        <v>800</v>
      </c>
      <c r="F14" s="16">
        <v>9600</v>
      </c>
      <c r="G14" s="33" t="s">
        <v>161</v>
      </c>
    </row>
    <row r="15" spans="1:12">
      <c r="A15" s="11" t="s">
        <v>157</v>
      </c>
      <c r="B15" s="11" t="s">
        <v>158</v>
      </c>
      <c r="C15" s="11" t="s">
        <v>153</v>
      </c>
      <c r="D15" s="31">
        <v>22</v>
      </c>
      <c r="E15" s="11">
        <v>300</v>
      </c>
      <c r="F15" s="16">
        <v>6600</v>
      </c>
      <c r="G15" s="33" t="s">
        <v>161</v>
      </c>
    </row>
    <row r="16" spans="1:12">
      <c r="A16" s="11" t="s">
        <v>147</v>
      </c>
      <c r="B16" s="11" t="s">
        <v>148</v>
      </c>
      <c r="C16" s="11" t="s">
        <v>159</v>
      </c>
      <c r="D16" s="31">
        <v>25</v>
      </c>
      <c r="E16" s="11">
        <v>500</v>
      </c>
      <c r="F16" s="16">
        <v>12500</v>
      </c>
      <c r="G16" s="33" t="s">
        <v>162</v>
      </c>
    </row>
    <row r="17" spans="1:7">
      <c r="A17" s="11" t="s">
        <v>151</v>
      </c>
      <c r="B17" s="11" t="s">
        <v>152</v>
      </c>
      <c r="C17" s="11" t="s">
        <v>149</v>
      </c>
      <c r="D17" s="31">
        <v>8</v>
      </c>
      <c r="E17" s="11">
        <v>800</v>
      </c>
      <c r="F17" s="16">
        <v>6400</v>
      </c>
      <c r="G17" s="33" t="s">
        <v>162</v>
      </c>
    </row>
    <row r="20" spans="1:7" ht="23.5">
      <c r="A20" s="36" t="s">
        <v>163</v>
      </c>
    </row>
    <row r="22" spans="1:7">
      <c r="A22" s="1" t="s">
        <v>164</v>
      </c>
    </row>
    <row r="24" spans="1:7">
      <c r="A24" s="17" t="s">
        <v>192</v>
      </c>
    </row>
    <row r="25" spans="1:7">
      <c r="A25" s="17" t="s">
        <v>193</v>
      </c>
    </row>
    <row r="26" spans="1:7">
      <c r="A26" s="17" t="s">
        <v>194</v>
      </c>
    </row>
    <row r="27" spans="1:7">
      <c r="A27" s="17" t="s">
        <v>195</v>
      </c>
    </row>
    <row r="29" spans="1:7">
      <c r="A29" s="100" t="s">
        <v>165</v>
      </c>
      <c r="B29" s="100"/>
      <c r="C29" s="100"/>
      <c r="D29" s="100"/>
      <c r="E29" s="100"/>
      <c r="F29" s="100"/>
    </row>
    <row r="30" spans="1:7">
      <c r="A30" s="17"/>
    </row>
    <row r="33" spans="1:12" ht="23.5">
      <c r="A33" s="36" t="s">
        <v>166</v>
      </c>
    </row>
    <row r="34" spans="1:12">
      <c r="J34" s="42" t="s">
        <v>146</v>
      </c>
      <c r="K34" t="s">
        <v>205</v>
      </c>
    </row>
    <row r="35" spans="1:12">
      <c r="A35" s="1" t="s">
        <v>164</v>
      </c>
      <c r="J35" s="42" t="s">
        <v>142</v>
      </c>
      <c r="K35" t="s">
        <v>149</v>
      </c>
    </row>
    <row r="37" spans="1:12">
      <c r="A37" s="17" t="s">
        <v>196</v>
      </c>
      <c r="J37" s="42" t="s">
        <v>203</v>
      </c>
      <c r="K37" t="s">
        <v>204</v>
      </c>
      <c r="L37" t="s">
        <v>191</v>
      </c>
    </row>
    <row r="38" spans="1:12">
      <c r="A38" s="17" t="s">
        <v>167</v>
      </c>
      <c r="J38" s="9" t="s">
        <v>148</v>
      </c>
      <c r="K38" s="43">
        <v>12000</v>
      </c>
      <c r="L38" s="44">
        <v>15</v>
      </c>
    </row>
    <row r="39" spans="1:12">
      <c r="A39" s="17" t="s">
        <v>168</v>
      </c>
      <c r="J39" s="9" t="s">
        <v>152</v>
      </c>
      <c r="K39" s="43">
        <v>6400</v>
      </c>
      <c r="L39" s="44">
        <v>8</v>
      </c>
    </row>
    <row r="40" spans="1:12">
      <c r="A40" s="17" t="s">
        <v>169</v>
      </c>
      <c r="J40" s="9" t="s">
        <v>155</v>
      </c>
      <c r="K40" s="43">
        <v>8800</v>
      </c>
      <c r="L40" s="44">
        <v>22</v>
      </c>
    </row>
    <row r="41" spans="1:12">
      <c r="A41" s="17" t="s">
        <v>197</v>
      </c>
      <c r="J41" s="9" t="s">
        <v>202</v>
      </c>
      <c r="K41" s="43">
        <v>9000</v>
      </c>
      <c r="L41" s="44">
        <v>45</v>
      </c>
    </row>
    <row r="42" spans="1:12">
      <c r="A42" s="17" t="s">
        <v>170</v>
      </c>
    </row>
    <row r="43" spans="1:12">
      <c r="A43" s="17" t="s">
        <v>171</v>
      </c>
    </row>
    <row r="44" spans="1:12">
      <c r="A44" s="17" t="s">
        <v>172</v>
      </c>
    </row>
    <row r="46" spans="1:12">
      <c r="A46" s="100" t="s">
        <v>173</v>
      </c>
      <c r="B46" s="100"/>
      <c r="C46" s="100"/>
      <c r="D46" s="100"/>
      <c r="E46" s="100"/>
    </row>
    <row r="50" spans="1:16" ht="23.5">
      <c r="A50" s="36" t="s">
        <v>174</v>
      </c>
    </row>
    <row r="52" spans="1:16">
      <c r="A52" s="1" t="s">
        <v>164</v>
      </c>
    </row>
    <row r="54" spans="1:16">
      <c r="A54" s="17" t="s">
        <v>198</v>
      </c>
    </row>
    <row r="55" spans="1:16">
      <c r="A55" s="17" t="s">
        <v>199</v>
      </c>
    </row>
    <row r="56" spans="1:16">
      <c r="A56" s="17" t="s">
        <v>200</v>
      </c>
    </row>
    <row r="58" spans="1:16">
      <c r="A58" s="100" t="s">
        <v>175</v>
      </c>
      <c r="B58" s="100"/>
      <c r="C58" s="100"/>
      <c r="D58" s="100"/>
      <c r="E58" s="100"/>
      <c r="F58" s="100"/>
      <c r="G58" s="100"/>
    </row>
    <row r="62" spans="1:16">
      <c r="A62" s="17"/>
    </row>
    <row r="63" spans="1:16">
      <c r="L63" s="42" t="s">
        <v>190</v>
      </c>
      <c r="M63" s="42" t="s">
        <v>201</v>
      </c>
    </row>
    <row r="64" spans="1:16">
      <c r="L64" s="42" t="s">
        <v>203</v>
      </c>
      <c r="M64" t="s">
        <v>149</v>
      </c>
      <c r="N64" t="s">
        <v>159</v>
      </c>
      <c r="O64" t="s">
        <v>153</v>
      </c>
      <c r="P64" t="s">
        <v>202</v>
      </c>
    </row>
    <row r="65" spans="12:16">
      <c r="L65" s="9" t="s">
        <v>154</v>
      </c>
      <c r="M65" s="43">
        <v>17600</v>
      </c>
      <c r="N65" s="43"/>
      <c r="O65" s="43"/>
      <c r="P65" s="43">
        <v>17600</v>
      </c>
    </row>
    <row r="66" spans="12:16">
      <c r="L66" s="9" t="s">
        <v>147</v>
      </c>
      <c r="M66" s="43">
        <v>12000</v>
      </c>
      <c r="N66" s="43">
        <v>12500</v>
      </c>
      <c r="O66" s="43">
        <v>6000</v>
      </c>
      <c r="P66" s="43">
        <v>30500</v>
      </c>
    </row>
    <row r="67" spans="12:16">
      <c r="L67" s="9" t="s">
        <v>151</v>
      </c>
      <c r="M67" s="43">
        <v>6400</v>
      </c>
      <c r="N67" s="43">
        <v>9000</v>
      </c>
      <c r="O67" s="43">
        <v>7500</v>
      </c>
      <c r="P67" s="43">
        <v>22900</v>
      </c>
    </row>
    <row r="68" spans="12:16">
      <c r="L68" s="9" t="s">
        <v>157</v>
      </c>
      <c r="M68" s="43"/>
      <c r="N68" s="43">
        <v>15000</v>
      </c>
      <c r="O68" s="43">
        <v>6600</v>
      </c>
      <c r="P68" s="43">
        <v>21600</v>
      </c>
    </row>
    <row r="69" spans="12:16">
      <c r="L69" s="9" t="s">
        <v>202</v>
      </c>
      <c r="M69" s="43">
        <v>36000</v>
      </c>
      <c r="N69" s="43">
        <v>36500</v>
      </c>
      <c r="O69" s="43">
        <v>20100</v>
      </c>
      <c r="P69" s="43">
        <v>92600</v>
      </c>
    </row>
  </sheetData>
  <mergeCells count="4">
    <mergeCell ref="A5:L5"/>
    <mergeCell ref="A29:F29"/>
    <mergeCell ref="A46:E46"/>
    <mergeCell ref="A58:G58"/>
  </mergeCells>
  <conditionalFormatting sqref="D1:D1048576">
    <cfRule type="dataBar" priority="2">
      <dataBar>
        <cfvo type="min"/>
        <cfvo type="max"/>
        <color rgb="FF638EC6"/>
      </dataBar>
      <extLst>
        <ext xmlns:x14="http://schemas.microsoft.com/office/spreadsheetml/2009/9/main" uri="{B025F937-C7B1-47D3-B67F-A62EFF666E3E}">
          <x14:id>{F9F6F28A-9872-466B-9A87-CD409F9ED42D}</x14:id>
        </ext>
      </extLst>
    </cfRule>
  </conditionalFormatting>
  <conditionalFormatting sqref="E1:E1048576">
    <cfRule type="colorScale" priority="1">
      <colorScale>
        <cfvo type="min"/>
        <cfvo type="max"/>
        <color rgb="FF63BE7B"/>
        <color rgb="FFFFEF9C"/>
      </colorScale>
    </cfRule>
  </conditionalFormatting>
  <conditionalFormatting sqref="F1:F1048576">
    <cfRule type="dataBar" priority="3">
      <dataBar>
        <cfvo type="min"/>
        <cfvo type="max"/>
        <color rgb="FF63C384"/>
      </dataBar>
      <extLst>
        <ext xmlns:x14="http://schemas.microsoft.com/office/spreadsheetml/2009/9/main" uri="{B025F937-C7B1-47D3-B67F-A62EFF666E3E}">
          <x14:id>{628F1EC8-7493-4AF6-BF35-70EBE44531AA}</x14:id>
        </ext>
      </extLst>
    </cfRule>
  </conditionalFormatting>
  <conditionalFormatting sqref="G1:G1048576">
    <cfRule type="dataBar" priority="4">
      <dataBar>
        <cfvo type="min"/>
        <cfvo type="max"/>
        <color rgb="FF638EC6"/>
      </dataBar>
      <extLst>
        <ext xmlns:x14="http://schemas.microsoft.com/office/spreadsheetml/2009/9/main" uri="{B025F937-C7B1-47D3-B67F-A62EFF666E3E}">
          <x14:id>{6F38FF59-7A16-40EC-A26E-7D0A5E4B2762}</x14:id>
        </ext>
      </extLst>
    </cfRule>
  </conditionalFormatting>
  <pageMargins left="0.7" right="0.7" top="0.75" bottom="0.75" header="0.3" footer="0.3"/>
  <drawing r:id="rId3"/>
  <extLst>
    <ext xmlns:x14="http://schemas.microsoft.com/office/spreadsheetml/2009/9/main" uri="{78C0D931-6437-407d-A8EE-F0AAD7539E65}">
      <x14:conditionalFormattings>
        <x14:conditionalFormatting xmlns:xm="http://schemas.microsoft.com/office/excel/2006/main">
          <x14:cfRule type="dataBar" id="{F9F6F28A-9872-466B-9A87-CD409F9ED42D}">
            <x14:dataBar minLength="0" maxLength="100" border="1" negativeBarBorderColorSameAsPositive="0">
              <x14:cfvo type="autoMin"/>
              <x14:cfvo type="autoMax"/>
              <x14:borderColor rgb="FF638EC6"/>
              <x14:negativeFillColor rgb="FFFF0000"/>
              <x14:negativeBorderColor rgb="FFFF0000"/>
              <x14:axisColor rgb="FF000000"/>
            </x14:dataBar>
          </x14:cfRule>
          <xm:sqref>D1:D1048576</xm:sqref>
        </x14:conditionalFormatting>
        <x14:conditionalFormatting xmlns:xm="http://schemas.microsoft.com/office/excel/2006/main">
          <x14:cfRule type="dataBar" id="{628F1EC8-7493-4AF6-BF35-70EBE44531AA}">
            <x14:dataBar minLength="0" maxLength="100" gradient="0">
              <x14:cfvo type="autoMin"/>
              <x14:cfvo type="autoMax"/>
              <x14:negativeFillColor rgb="FFFF0000"/>
              <x14:axisColor rgb="FF000000"/>
            </x14:dataBar>
          </x14:cfRule>
          <xm:sqref>F1:F1048576</xm:sqref>
        </x14:conditionalFormatting>
        <x14:conditionalFormatting xmlns:xm="http://schemas.microsoft.com/office/excel/2006/main">
          <x14:cfRule type="dataBar" id="{6F38FF59-7A16-40EC-A26E-7D0A5E4B2762}">
            <x14:dataBar minLength="0" maxLength="100" border="1" negativeBarBorderColorSameAsPositive="0">
              <x14:cfvo type="autoMin"/>
              <x14:cfvo type="autoMax"/>
              <x14:borderColor rgb="FF638EC6"/>
              <x14:negativeFillColor rgb="FFFF0000"/>
              <x14:negativeBorderColor rgb="FFFF0000"/>
              <x14:axisColor rgb="FF000000"/>
            </x14:dataBar>
          </x14:cfRule>
          <xm:sqref>G1:G1048576</xm:sqref>
        </x14:conditionalFormatting>
      </x14:conditionalFormattings>
    </ex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BD7D-DC8E-43F3-B9AA-77A6104960E9}">
  <sheetPr codeName="Sheet4"/>
  <dimension ref="A5:U101"/>
  <sheetViews>
    <sheetView workbookViewId="0">
      <selection activeCell="D72" sqref="D72"/>
    </sheetView>
  </sheetViews>
  <sheetFormatPr defaultRowHeight="14.5"/>
  <cols>
    <col min="2" max="2" width="13.453125" customWidth="1"/>
    <col min="3" max="3" width="12.26953125" customWidth="1"/>
    <col min="4" max="4" width="14.6328125" customWidth="1"/>
    <col min="5" max="5" width="10.26953125" bestFit="1" customWidth="1"/>
    <col min="6" max="7" width="10.08984375" bestFit="1" customWidth="1"/>
    <col min="8" max="8" width="10.36328125" bestFit="1" customWidth="1"/>
    <col min="9" max="9" width="12" customWidth="1"/>
    <col min="10" max="10" width="10.08984375" bestFit="1" customWidth="1"/>
    <col min="11" max="14" width="10.26953125" bestFit="1" customWidth="1"/>
  </cols>
  <sheetData>
    <row r="5" spans="1:21" ht="28.5">
      <c r="A5" s="101" t="s">
        <v>234</v>
      </c>
      <c r="B5" s="101"/>
      <c r="C5" s="101"/>
      <c r="D5" s="101"/>
      <c r="E5" s="101"/>
      <c r="F5" s="101"/>
      <c r="G5" s="101"/>
      <c r="H5" s="101"/>
      <c r="I5" s="101"/>
      <c r="J5" s="101"/>
      <c r="K5" s="101"/>
      <c r="L5" s="101"/>
      <c r="M5" s="101"/>
      <c r="N5" s="101"/>
      <c r="O5" s="101"/>
      <c r="P5" s="101"/>
      <c r="Q5" s="101"/>
      <c r="R5" s="101"/>
      <c r="S5" s="101"/>
      <c r="T5" s="101"/>
      <c r="U5" s="101"/>
    </row>
    <row r="7" spans="1:21" ht="17.5">
      <c r="A7" s="46" t="s">
        <v>206</v>
      </c>
      <c r="I7" s="67" t="s">
        <v>274</v>
      </c>
    </row>
    <row r="9" spans="1:21">
      <c r="A9" s="12" t="s">
        <v>207</v>
      </c>
      <c r="B9" s="32" t="s">
        <v>208</v>
      </c>
      <c r="C9" s="12" t="s">
        <v>209</v>
      </c>
      <c r="D9" s="12" t="s">
        <v>210</v>
      </c>
      <c r="E9" s="13" t="s">
        <v>211</v>
      </c>
      <c r="F9" s="49" t="s">
        <v>212</v>
      </c>
      <c r="I9" s="12" t="s">
        <v>207</v>
      </c>
      <c r="J9" s="11" t="s">
        <v>213</v>
      </c>
      <c r="K9" s="11" t="s">
        <v>216</v>
      </c>
      <c r="L9" s="11" t="s">
        <v>219</v>
      </c>
      <c r="M9" s="11" t="s">
        <v>222</v>
      </c>
      <c r="N9" s="11" t="s">
        <v>224</v>
      </c>
    </row>
    <row r="10" spans="1:21" ht="29">
      <c r="A10" s="11" t="s">
        <v>213</v>
      </c>
      <c r="B10" s="33" t="s">
        <v>214</v>
      </c>
      <c r="C10" s="11" t="s">
        <v>9</v>
      </c>
      <c r="D10" s="11" t="s">
        <v>215</v>
      </c>
      <c r="E10" s="16">
        <v>45000</v>
      </c>
      <c r="F10" s="48">
        <v>43628</v>
      </c>
      <c r="I10" s="32" t="s">
        <v>208</v>
      </c>
      <c r="J10" s="33" t="s">
        <v>214</v>
      </c>
      <c r="K10" s="33" t="s">
        <v>217</v>
      </c>
      <c r="L10" s="33" t="s">
        <v>220</v>
      </c>
      <c r="M10" s="33" t="s">
        <v>223</v>
      </c>
      <c r="N10" s="33" t="s">
        <v>225</v>
      </c>
    </row>
    <row r="11" spans="1:21">
      <c r="A11" s="11" t="s">
        <v>216</v>
      </c>
      <c r="B11" s="33" t="s">
        <v>217</v>
      </c>
      <c r="C11" s="11" t="s">
        <v>3</v>
      </c>
      <c r="D11" s="11" t="s">
        <v>218</v>
      </c>
      <c r="E11" s="16">
        <v>60000</v>
      </c>
      <c r="F11" s="48">
        <v>43845</v>
      </c>
      <c r="I11" s="12" t="s">
        <v>209</v>
      </c>
      <c r="J11" s="11" t="s">
        <v>9</v>
      </c>
      <c r="K11" s="11" t="s">
        <v>3</v>
      </c>
      <c r="L11" s="11" t="s">
        <v>15</v>
      </c>
      <c r="M11" s="11" t="s">
        <v>3</v>
      </c>
      <c r="N11" s="11" t="s">
        <v>9</v>
      </c>
    </row>
    <row r="12" spans="1:21" ht="29">
      <c r="A12" s="11" t="s">
        <v>219</v>
      </c>
      <c r="B12" s="33" t="s">
        <v>220</v>
      </c>
      <c r="C12" s="11" t="s">
        <v>15</v>
      </c>
      <c r="D12" s="11" t="s">
        <v>221</v>
      </c>
      <c r="E12" s="16">
        <v>52000</v>
      </c>
      <c r="F12" s="48">
        <v>43424</v>
      </c>
      <c r="I12" s="12" t="s">
        <v>210</v>
      </c>
      <c r="J12" s="11" t="s">
        <v>215</v>
      </c>
      <c r="K12" s="11" t="s">
        <v>218</v>
      </c>
      <c r="L12" s="11" t="s">
        <v>221</v>
      </c>
      <c r="M12" s="11" t="s">
        <v>215</v>
      </c>
      <c r="N12" s="11" t="s">
        <v>218</v>
      </c>
    </row>
    <row r="13" spans="1:21">
      <c r="A13" s="11" t="s">
        <v>222</v>
      </c>
      <c r="B13" s="33" t="s">
        <v>223</v>
      </c>
      <c r="C13" s="11" t="s">
        <v>3</v>
      </c>
      <c r="D13" s="11" t="s">
        <v>215</v>
      </c>
      <c r="E13" s="16">
        <v>58000</v>
      </c>
      <c r="F13" s="48">
        <v>44260</v>
      </c>
      <c r="I13" s="13" t="s">
        <v>211</v>
      </c>
      <c r="J13" s="16">
        <v>45000</v>
      </c>
      <c r="K13" s="16">
        <v>60000</v>
      </c>
      <c r="L13" s="16">
        <v>52000</v>
      </c>
      <c r="M13" s="16">
        <v>58000</v>
      </c>
      <c r="N13" s="16">
        <v>47000</v>
      </c>
    </row>
    <row r="14" spans="1:21">
      <c r="A14" s="11" t="s">
        <v>224</v>
      </c>
      <c r="B14" s="33" t="s">
        <v>225</v>
      </c>
      <c r="C14" s="11" t="s">
        <v>9</v>
      </c>
      <c r="D14" s="11" t="s">
        <v>218</v>
      </c>
      <c r="E14" s="16">
        <v>47000</v>
      </c>
      <c r="F14" s="48">
        <v>44760</v>
      </c>
      <c r="I14" s="49" t="s">
        <v>212</v>
      </c>
      <c r="J14" s="48">
        <v>43628</v>
      </c>
      <c r="K14" s="48">
        <v>43845</v>
      </c>
      <c r="L14" s="48">
        <v>43424</v>
      </c>
      <c r="M14" s="48">
        <v>44260</v>
      </c>
      <c r="N14" s="48">
        <v>44760</v>
      </c>
    </row>
    <row r="17" spans="1:15" ht="23.5">
      <c r="A17" s="45" t="s">
        <v>226</v>
      </c>
    </row>
    <row r="18" spans="1:15" ht="29">
      <c r="G18" s="50" t="s">
        <v>247</v>
      </c>
      <c r="H18" s="12" t="s">
        <v>207</v>
      </c>
      <c r="I18" s="32" t="s">
        <v>208</v>
      </c>
      <c r="J18" s="12" t="s">
        <v>209</v>
      </c>
      <c r="K18" s="12" t="s">
        <v>210</v>
      </c>
      <c r="L18" s="13" t="s">
        <v>211</v>
      </c>
      <c r="M18" s="49" t="s">
        <v>212</v>
      </c>
      <c r="N18" s="1"/>
      <c r="O18" s="1"/>
    </row>
    <row r="19" spans="1:15" ht="18" thickBot="1">
      <c r="A19" s="46" t="s">
        <v>227</v>
      </c>
      <c r="G19" s="50">
        <v>1</v>
      </c>
      <c r="H19" s="11" t="s">
        <v>219</v>
      </c>
      <c r="I19" s="1"/>
      <c r="J19" s="1"/>
      <c r="K19" s="1"/>
      <c r="L19" s="52">
        <f>VLOOKUP(A12,A9:F14,5,FALSE)</f>
        <v>52000</v>
      </c>
      <c r="M19" s="1"/>
      <c r="N19" s="1"/>
      <c r="O19" s="1"/>
    </row>
    <row r="20" spans="1:15" ht="15.5" thickTop="1" thickBot="1">
      <c r="A20" s="47"/>
      <c r="G20" s="50">
        <v>2</v>
      </c>
      <c r="H20" s="11" t="s">
        <v>224</v>
      </c>
      <c r="I20" s="1"/>
      <c r="J20" s="25" t="str">
        <f>VLOOKUP(A14,A9:F14,3,FALSE)</f>
        <v>HR</v>
      </c>
      <c r="K20" s="1"/>
      <c r="L20" s="1"/>
      <c r="M20" s="1"/>
      <c r="N20" s="1"/>
      <c r="O20" s="1"/>
    </row>
    <row r="21" spans="1:15" ht="15" thickTop="1">
      <c r="A21" s="47" t="s">
        <v>235</v>
      </c>
      <c r="G21" s="50">
        <v>3</v>
      </c>
      <c r="H21" s="11" t="s">
        <v>216</v>
      </c>
      <c r="I21" s="1"/>
      <c r="J21" s="1"/>
      <c r="K21" s="53" t="str">
        <f>VLOOKUP(A11,A9:F14,4,FALSE)</f>
        <v>Cuttack</v>
      </c>
      <c r="L21" s="1"/>
      <c r="M21" s="1"/>
      <c r="N21" s="1"/>
      <c r="O21" s="1"/>
    </row>
    <row r="22" spans="1:15">
      <c r="A22" s="47" t="s">
        <v>236</v>
      </c>
      <c r="G22" s="50"/>
      <c r="H22" s="1"/>
      <c r="I22" s="1"/>
      <c r="J22" s="1"/>
      <c r="L22" s="1"/>
      <c r="M22" s="1"/>
      <c r="N22" s="1"/>
      <c r="O22" s="1"/>
    </row>
    <row r="23" spans="1:15">
      <c r="A23" s="47" t="s">
        <v>237</v>
      </c>
      <c r="G23" s="50"/>
      <c r="H23" s="1"/>
      <c r="I23" s="1"/>
      <c r="J23" s="1"/>
      <c r="K23" s="1"/>
      <c r="L23" s="1"/>
      <c r="M23" s="1"/>
      <c r="N23" s="1"/>
      <c r="O23" s="1"/>
    </row>
    <row r="24" spans="1:15">
      <c r="G24" s="50"/>
      <c r="H24" s="1"/>
      <c r="I24" s="1"/>
      <c r="J24" s="1"/>
      <c r="K24" s="1"/>
      <c r="L24" s="1"/>
      <c r="M24" s="1"/>
      <c r="N24" s="1"/>
      <c r="O24" s="1"/>
    </row>
    <row r="25" spans="1:15" ht="17.5">
      <c r="A25" s="46" t="s">
        <v>228</v>
      </c>
      <c r="G25" s="1"/>
      <c r="H25" s="11"/>
      <c r="I25" s="11"/>
      <c r="J25" s="11"/>
      <c r="K25" s="11"/>
      <c r="L25" s="11"/>
      <c r="M25" s="1"/>
      <c r="N25" s="1"/>
      <c r="O25" s="1"/>
    </row>
    <row r="26" spans="1:15">
      <c r="G26" s="1"/>
      <c r="H26" s="11"/>
      <c r="I26" s="1"/>
      <c r="J26" s="1"/>
      <c r="K26" s="1"/>
      <c r="L26" s="1"/>
      <c r="M26" s="1"/>
      <c r="N26" s="1"/>
      <c r="O26" s="1"/>
    </row>
    <row r="27" spans="1:15">
      <c r="A27" t="s">
        <v>229</v>
      </c>
      <c r="G27" s="1"/>
      <c r="H27" s="11"/>
      <c r="I27" s="1"/>
      <c r="J27" s="1"/>
      <c r="K27" s="1"/>
      <c r="L27" s="1"/>
      <c r="M27" s="1"/>
      <c r="N27" s="1"/>
      <c r="O27" s="1"/>
    </row>
    <row r="28" spans="1:15">
      <c r="A28" s="47"/>
      <c r="G28" s="1"/>
      <c r="H28" s="11"/>
      <c r="I28" s="1"/>
      <c r="J28" s="1"/>
      <c r="K28" s="1"/>
      <c r="L28" s="1"/>
      <c r="M28" s="1"/>
      <c r="N28" s="1"/>
      <c r="O28" s="1"/>
    </row>
    <row r="29" spans="1:15">
      <c r="A29" s="47" t="s">
        <v>238</v>
      </c>
      <c r="G29" s="59">
        <f>HLOOKUP("E104",I9:N14,6,FALSE)</f>
        <v>44260</v>
      </c>
      <c r="H29" s="11"/>
      <c r="I29" s="1"/>
      <c r="J29" s="1"/>
      <c r="K29" s="1"/>
      <c r="L29" s="1"/>
      <c r="M29" s="1"/>
      <c r="N29" s="1"/>
      <c r="O29" s="1"/>
    </row>
    <row r="30" spans="1:15">
      <c r="A30" s="47" t="s">
        <v>239</v>
      </c>
      <c r="G30" s="1"/>
      <c r="H30" s="11"/>
      <c r="I30" s="68" t="str">
        <f>HLOOKUP("E102",I9:N14,2,FALSE)</f>
        <v>Rakesh Nayak</v>
      </c>
      <c r="J30" s="1"/>
      <c r="K30" s="1"/>
      <c r="L30" s="1"/>
      <c r="M30" s="59"/>
      <c r="N30" s="1"/>
      <c r="O30" s="1"/>
    </row>
    <row r="31" spans="1:15">
      <c r="G31" s="12"/>
      <c r="H31" s="1"/>
      <c r="I31" s="1"/>
      <c r="J31" s="1"/>
      <c r="K31" s="1"/>
      <c r="L31" s="1"/>
      <c r="M31" s="1"/>
      <c r="N31" s="1"/>
      <c r="O31" s="1"/>
    </row>
    <row r="32" spans="1:15" ht="17.5">
      <c r="A32" s="46" t="s">
        <v>230</v>
      </c>
      <c r="G32" s="50"/>
      <c r="H32" s="1"/>
      <c r="I32" s="1"/>
      <c r="J32" s="1"/>
      <c r="K32" s="1"/>
      <c r="L32" s="1"/>
      <c r="M32" s="1"/>
      <c r="N32" s="1"/>
      <c r="O32" s="1"/>
    </row>
    <row r="33" spans="1:15">
      <c r="A33" s="47"/>
      <c r="G33" s="50"/>
      <c r="H33" s="1"/>
      <c r="I33" s="1"/>
      <c r="J33" s="1"/>
      <c r="K33" s="1"/>
      <c r="L33" s="1"/>
      <c r="M33" s="1"/>
      <c r="N33" s="1"/>
      <c r="O33" s="1"/>
    </row>
    <row r="34" spans="1:15" ht="29.5" thickBot="1">
      <c r="A34" s="47" t="s">
        <v>240</v>
      </c>
      <c r="F34" s="58" t="str">
        <f>INDEX(B9:B14,MATCH(MAX(E9:E14),E9:E14,0))</f>
        <v>Rakesh Nayak</v>
      </c>
      <c r="G34" s="50"/>
      <c r="H34" s="1"/>
      <c r="I34" s="1"/>
      <c r="J34" s="1"/>
      <c r="K34" s="1"/>
      <c r="L34" s="1"/>
      <c r="M34" s="1"/>
      <c r="N34" s="1"/>
      <c r="O34" s="1"/>
    </row>
    <row r="35" spans="1:15" ht="15.5" thickTop="1" thickBot="1">
      <c r="A35" s="47" t="s">
        <v>241</v>
      </c>
      <c r="G35" s="50"/>
      <c r="H35" s="25" t="str">
        <f>INDEX(A9:A14,MATCH("Finance",C9:C14,0))</f>
        <v>E103</v>
      </c>
      <c r="I35" s="1"/>
      <c r="J35" s="1"/>
      <c r="K35" s="1"/>
      <c r="L35" s="1"/>
      <c r="M35" s="1"/>
      <c r="N35" s="1"/>
      <c r="O35" s="1"/>
    </row>
    <row r="36" spans="1:15" ht="15" thickTop="1">
      <c r="A36" s="47" t="s">
        <v>242</v>
      </c>
      <c r="G36" s="50"/>
      <c r="H36" s="1"/>
      <c r="I36" s="1"/>
      <c r="J36" s="1"/>
      <c r="K36" s="1"/>
      <c r="L36" s="60">
        <f>INDEX(F9:F14,MATCH("Lopa Mishra",B9:B14,0))</f>
        <v>44760</v>
      </c>
      <c r="M36" s="1"/>
      <c r="N36" s="1"/>
      <c r="O36" s="1"/>
    </row>
    <row r="37" spans="1:15">
      <c r="G37" s="50"/>
      <c r="H37" s="1"/>
      <c r="I37" s="1"/>
      <c r="J37" s="1"/>
      <c r="K37" s="1"/>
      <c r="L37" s="1"/>
      <c r="M37" s="1"/>
      <c r="N37" s="1"/>
      <c r="O37" s="1"/>
    </row>
    <row r="38" spans="1:15" ht="17.5">
      <c r="A38" s="46" t="s">
        <v>231</v>
      </c>
      <c r="G38" s="50"/>
      <c r="H38" s="1"/>
      <c r="I38" s="1"/>
      <c r="J38" s="1"/>
      <c r="K38" s="1"/>
      <c r="L38" s="1"/>
      <c r="M38" s="1"/>
      <c r="N38" s="1"/>
      <c r="O38" s="1"/>
    </row>
    <row r="39" spans="1:15">
      <c r="A39" s="47"/>
      <c r="G39" s="50"/>
      <c r="H39" s="1"/>
      <c r="I39" s="1"/>
      <c r="J39" s="1"/>
      <c r="K39" s="1"/>
      <c r="L39" s="1"/>
      <c r="M39" s="1"/>
      <c r="N39" s="1"/>
      <c r="O39" s="1"/>
    </row>
    <row r="40" spans="1:15">
      <c r="A40" s="47" t="s">
        <v>243</v>
      </c>
      <c r="F40" s="61" t="str">
        <f>_xlfn.XLOOKUP("Sneha Patnaik",B9:B14,C9:C14,"Not Found",0,1)</f>
        <v>Finance</v>
      </c>
      <c r="G40" s="50"/>
      <c r="H40" s="1"/>
      <c r="I40" s="1"/>
      <c r="J40" s="1"/>
      <c r="K40" s="1"/>
      <c r="L40" s="1"/>
      <c r="M40" s="1"/>
      <c r="N40" s="1"/>
      <c r="O40" s="1"/>
    </row>
    <row r="41" spans="1:15">
      <c r="A41" s="47" t="s">
        <v>244</v>
      </c>
      <c r="G41" s="50"/>
      <c r="H41" s="62">
        <f>_xlfn.XLOOKUP("Berhampur",D9:D14,E9:E14,"Not Found",0,1)</f>
        <v>52000</v>
      </c>
      <c r="I41" s="1"/>
      <c r="J41" s="1"/>
      <c r="K41" s="1"/>
      <c r="L41" s="1"/>
      <c r="M41" s="1"/>
      <c r="N41" s="1"/>
      <c r="O41" s="1"/>
    </row>
    <row r="42" spans="1:15" ht="15" thickBot="1">
      <c r="A42" s="47" t="s">
        <v>245</v>
      </c>
      <c r="G42" s="50"/>
      <c r="H42" s="1"/>
      <c r="I42" s="1"/>
      <c r="J42" s="63" t="str">
        <f>_xlfn.XLOOKUP(F13,F9:F14,A9:A14,"Not Found",0,1)</f>
        <v>E104</v>
      </c>
      <c r="K42" s="1"/>
      <c r="L42" s="1"/>
      <c r="M42" s="1"/>
      <c r="N42" s="1"/>
      <c r="O42" s="1"/>
    </row>
    <row r="43" spans="1:15" ht="15" thickTop="1">
      <c r="G43" s="50"/>
      <c r="H43" s="1"/>
      <c r="I43" s="1"/>
      <c r="J43" s="1"/>
      <c r="K43" s="1"/>
      <c r="L43" s="1"/>
      <c r="M43" s="1"/>
      <c r="N43" s="1"/>
      <c r="O43" s="1"/>
    </row>
    <row r="44" spans="1:15" ht="17.5">
      <c r="A44" s="46" t="s">
        <v>232</v>
      </c>
      <c r="G44" s="50"/>
      <c r="H44" s="1"/>
      <c r="I44" s="1"/>
      <c r="J44" s="1"/>
      <c r="K44" s="1"/>
      <c r="L44" s="1"/>
      <c r="M44" s="1"/>
      <c r="N44" s="1"/>
      <c r="O44" s="1"/>
    </row>
    <row r="45" spans="1:15" ht="15" thickBot="1">
      <c r="A45" s="47"/>
      <c r="G45" s="50"/>
      <c r="H45" s="1"/>
      <c r="I45" s="1"/>
      <c r="J45" s="1"/>
      <c r="K45" s="1"/>
      <c r="L45" s="1"/>
      <c r="M45" s="1"/>
      <c r="N45" s="1"/>
      <c r="O45" s="1"/>
    </row>
    <row r="46" spans="1:15" ht="15.5" thickTop="1" thickBot="1">
      <c r="A46" s="47" t="s">
        <v>273</v>
      </c>
      <c r="F46" s="65" t="str">
        <f>LOOKUP(A14,A9:A14)</f>
        <v>E105</v>
      </c>
      <c r="G46" s="50"/>
      <c r="H46" s="1"/>
      <c r="I46" s="1"/>
      <c r="J46" s="1"/>
      <c r="K46" s="1"/>
      <c r="L46" s="1"/>
      <c r="M46" s="1"/>
      <c r="N46" s="1"/>
      <c r="O46" s="1"/>
    </row>
    <row r="47" spans="1:15" ht="15" thickTop="1">
      <c r="A47" s="47" t="s">
        <v>246</v>
      </c>
      <c r="G47" s="50"/>
      <c r="H47" s="64" t="str">
        <f>LOOKUP("E104",A9:A14,C9:C14)</f>
        <v>IT</v>
      </c>
      <c r="I47" s="1"/>
      <c r="J47" s="1"/>
      <c r="K47" s="1"/>
      <c r="L47" s="1"/>
      <c r="M47" s="1"/>
      <c r="N47" s="1"/>
      <c r="O47" s="1"/>
    </row>
    <row r="48" spans="1:15">
      <c r="G48" s="50"/>
      <c r="H48" s="1"/>
      <c r="I48" s="1"/>
      <c r="J48" s="1"/>
      <c r="K48" s="1"/>
      <c r="L48" s="1"/>
      <c r="M48" s="1"/>
      <c r="N48" s="1"/>
      <c r="O48" s="1"/>
    </row>
    <row r="49" spans="1:16">
      <c r="G49" s="50"/>
      <c r="H49" s="1"/>
      <c r="I49" s="1"/>
      <c r="J49" s="1"/>
      <c r="K49" s="1"/>
      <c r="L49" s="1"/>
      <c r="M49" s="1"/>
      <c r="N49" s="1"/>
      <c r="O49" s="1"/>
    </row>
    <row r="50" spans="1:16">
      <c r="G50" s="51"/>
    </row>
    <row r="51" spans="1:16" ht="23.5">
      <c r="A51" s="45" t="s">
        <v>233</v>
      </c>
    </row>
    <row r="52" spans="1:16">
      <c r="A52" s="47"/>
    </row>
    <row r="53" spans="1:16">
      <c r="A53" s="47"/>
    </row>
    <row r="54" spans="1:16">
      <c r="A54" s="47" t="s">
        <v>272</v>
      </c>
      <c r="H54" s="66" t="s">
        <v>179</v>
      </c>
    </row>
    <row r="55" spans="1:16">
      <c r="A55" s="47"/>
    </row>
    <row r="60" spans="1:16" ht="28.5">
      <c r="B60" s="102" t="s">
        <v>248</v>
      </c>
      <c r="C60" s="102"/>
      <c r="D60" s="102"/>
      <c r="E60" s="102"/>
      <c r="F60" s="102"/>
      <c r="G60" s="102"/>
      <c r="H60" s="102"/>
      <c r="I60" s="102"/>
      <c r="J60" s="102"/>
      <c r="K60" s="102"/>
      <c r="L60" s="102"/>
      <c r="M60" s="102"/>
      <c r="N60" s="102"/>
      <c r="O60" s="102"/>
      <c r="P60" s="102"/>
    </row>
    <row r="65" spans="1:16">
      <c r="A65" s="5"/>
      <c r="B65" s="5"/>
      <c r="C65" s="5"/>
      <c r="D65" s="5"/>
      <c r="E65" s="5"/>
    </row>
    <row r="66" spans="1:16" ht="21">
      <c r="A66" s="56" t="s">
        <v>269</v>
      </c>
      <c r="B66" s="55"/>
      <c r="C66" s="55"/>
      <c r="D66" s="55"/>
      <c r="E66" s="55"/>
      <c r="F66" s="55"/>
      <c r="G66" s="55"/>
      <c r="H66" s="57"/>
      <c r="I66" s="55"/>
      <c r="J66" s="55"/>
      <c r="K66" s="55"/>
      <c r="L66" s="55"/>
      <c r="M66" s="55"/>
      <c r="N66" s="55"/>
      <c r="O66" s="55"/>
      <c r="P66" s="55"/>
    </row>
    <row r="67" spans="1:16">
      <c r="A67" s="5"/>
      <c r="B67" s="5"/>
      <c r="C67" s="5"/>
      <c r="D67" s="5"/>
      <c r="E67" s="5"/>
    </row>
    <row r="68" spans="1:16">
      <c r="A68" s="11"/>
      <c r="B68" s="11"/>
      <c r="C68" s="11"/>
      <c r="D68" s="11"/>
      <c r="E68" s="11"/>
    </row>
    <row r="69" spans="1:16">
      <c r="A69" s="12" t="s">
        <v>142</v>
      </c>
      <c r="B69" s="12" t="s">
        <v>143</v>
      </c>
      <c r="C69" s="12" t="s">
        <v>144</v>
      </c>
      <c r="D69" s="12" t="s">
        <v>249</v>
      </c>
      <c r="E69" s="12" t="s">
        <v>250</v>
      </c>
    </row>
    <row r="70" spans="1:16">
      <c r="A70" s="11" t="s">
        <v>251</v>
      </c>
      <c r="B70" s="11">
        <v>120</v>
      </c>
      <c r="C70" s="11">
        <v>10</v>
      </c>
      <c r="D70" s="54">
        <f>B70*C70</f>
        <v>1200</v>
      </c>
      <c r="E70" s="54">
        <f>IF(D70&gt;1000,100,"FALSE")</f>
        <v>100</v>
      </c>
      <c r="G70" s="103" t="s">
        <v>271</v>
      </c>
      <c r="H70" s="103"/>
      <c r="I70" s="103"/>
      <c r="J70" s="103"/>
      <c r="K70" s="103"/>
      <c r="L70" s="103"/>
      <c r="M70" s="103"/>
    </row>
    <row r="71" spans="1:16">
      <c r="A71" s="11" t="s">
        <v>252</v>
      </c>
      <c r="B71" s="11">
        <v>80</v>
      </c>
      <c r="C71" s="11">
        <v>5</v>
      </c>
      <c r="D71" s="54">
        <f t="shared" ref="D71:D73" si="0">B71*C71</f>
        <v>400</v>
      </c>
      <c r="E71" s="54" t="str">
        <f>IF(D71&gt;1000,100,"FALSE")</f>
        <v>FALSE</v>
      </c>
    </row>
    <row r="72" spans="1:16" ht="29">
      <c r="A72" s="11" t="s">
        <v>253</v>
      </c>
      <c r="B72" s="11">
        <v>150</v>
      </c>
      <c r="C72" s="11">
        <v>20</v>
      </c>
      <c r="D72" s="54">
        <f t="shared" si="0"/>
        <v>3000</v>
      </c>
      <c r="E72" s="54">
        <f t="shared" ref="E72:E73" si="1">IF(D72&gt;1000,100,"FALSE")</f>
        <v>100</v>
      </c>
    </row>
    <row r="73" spans="1:16" ht="29">
      <c r="A73" s="11" t="s">
        <v>270</v>
      </c>
      <c r="B73" s="11">
        <v>150</v>
      </c>
      <c r="C73" s="11">
        <v>25</v>
      </c>
      <c r="D73" s="54">
        <f t="shared" si="0"/>
        <v>3750</v>
      </c>
      <c r="E73" s="54">
        <f t="shared" si="1"/>
        <v>100</v>
      </c>
    </row>
    <row r="74" spans="1:16" ht="29">
      <c r="C74" s="69" t="s">
        <v>275</v>
      </c>
      <c r="D74" s="58">
        <f>SUM(D70:D73)</f>
        <v>8350</v>
      </c>
      <c r="E74" s="54"/>
    </row>
    <row r="75" spans="1:16" ht="23.5">
      <c r="A75" s="45" t="s">
        <v>254</v>
      </c>
    </row>
    <row r="76" spans="1:16" ht="15" thickBot="1"/>
    <row r="77" spans="1:16" ht="18.5" thickTop="1" thickBot="1">
      <c r="A77" s="46" t="s">
        <v>255</v>
      </c>
      <c r="G77" s="25" t="s">
        <v>179</v>
      </c>
    </row>
    <row r="78" spans="1:16" ht="15" thickTop="1">
      <c r="A78" s="47"/>
    </row>
    <row r="79" spans="1:16">
      <c r="A79" s="47" t="s">
        <v>256</v>
      </c>
    </row>
    <row r="80" spans="1:16">
      <c r="A80" s="47" t="s">
        <v>257</v>
      </c>
    </row>
    <row r="81" spans="1:10" ht="15" thickBot="1"/>
    <row r="82" spans="1:10" ht="18.5" thickTop="1" thickBot="1">
      <c r="A82" s="46" t="s">
        <v>258</v>
      </c>
      <c r="G82" s="25" t="s">
        <v>179</v>
      </c>
    </row>
    <row r="83" spans="1:10" ht="15" thickTop="1">
      <c r="A83" s="47"/>
    </row>
    <row r="84" spans="1:10">
      <c r="A84" s="47" t="s">
        <v>259</v>
      </c>
    </row>
    <row r="85" spans="1:10">
      <c r="A85" s="47" t="s">
        <v>260</v>
      </c>
    </row>
    <row r="86" spans="1:10" ht="15" thickBot="1"/>
    <row r="87" spans="1:10" ht="18.5" thickTop="1" thickBot="1">
      <c r="A87" s="46" t="s">
        <v>261</v>
      </c>
      <c r="G87" s="25" t="s">
        <v>179</v>
      </c>
    </row>
    <row r="88" spans="1:10" ht="15" thickTop="1">
      <c r="A88" s="47"/>
    </row>
    <row r="89" spans="1:10">
      <c r="A89" s="47" t="s">
        <v>262</v>
      </c>
    </row>
    <row r="90" spans="1:10">
      <c r="A90" s="47" t="s">
        <v>263</v>
      </c>
    </row>
    <row r="91" spans="1:10" ht="15" thickBot="1"/>
    <row r="92" spans="1:10" ht="18.5" thickTop="1" thickBot="1">
      <c r="A92" s="46" t="s">
        <v>264</v>
      </c>
      <c r="J92" s="25" t="s">
        <v>179</v>
      </c>
    </row>
    <row r="93" spans="1:10" ht="15" thickTop="1">
      <c r="A93" s="47"/>
    </row>
    <row r="94" spans="1:10">
      <c r="A94" s="47" t="s">
        <v>265</v>
      </c>
    </row>
    <row r="98" spans="1:9" ht="23.5">
      <c r="A98" s="45" t="s">
        <v>266</v>
      </c>
    </row>
    <row r="99" spans="1:9" ht="15" thickBot="1">
      <c r="A99" s="47"/>
    </row>
    <row r="100" spans="1:9" ht="15.5" thickTop="1" thickBot="1">
      <c r="A100" s="47" t="s">
        <v>267</v>
      </c>
      <c r="G100" s="25" t="s">
        <v>179</v>
      </c>
    </row>
    <row r="101" spans="1:9" ht="15" thickTop="1">
      <c r="A101" s="47" t="s">
        <v>268</v>
      </c>
      <c r="I101" s="64" t="s">
        <v>179</v>
      </c>
    </row>
  </sheetData>
  <mergeCells count="3">
    <mergeCell ref="A5:U5"/>
    <mergeCell ref="B60:P60"/>
    <mergeCell ref="G70:M70"/>
  </mergeCells>
  <conditionalFormatting sqref="E9:E14">
    <cfRule type="cellIs" dxfId="14" priority="8" operator="greaterThan">
      <formula>55000</formula>
    </cfRule>
  </conditionalFormatting>
  <conditionalFormatting sqref="G19:G21">
    <cfRule type="dataBar" priority="1">
      <dataBar>
        <cfvo type="min"/>
        <cfvo type="max"/>
        <color rgb="FFFFB628"/>
      </dataBar>
      <extLst>
        <ext xmlns:x14="http://schemas.microsoft.com/office/spreadsheetml/2009/9/main" uri="{B025F937-C7B1-47D3-B67F-A62EFF666E3E}">
          <x14:id>{EB6CA837-30A9-42E9-A9A9-6284731F5BC7}</x14:id>
        </ext>
      </extLst>
    </cfRule>
  </conditionalFormatting>
  <conditionalFormatting sqref="G32:G50 G18:G30">
    <cfRule type="dataBar" priority="9">
      <dataBar>
        <cfvo type="min"/>
        <cfvo type="max"/>
        <color rgb="FF638EC6"/>
      </dataBar>
      <extLst>
        <ext xmlns:x14="http://schemas.microsoft.com/office/spreadsheetml/2009/9/main" uri="{B025F937-C7B1-47D3-B67F-A62EFF666E3E}">
          <x14:id>{4A540083-7FA5-4460-8AF0-FFD0C1DC1169}</x14:id>
        </ext>
      </extLst>
    </cfRule>
  </conditionalFormatting>
  <conditionalFormatting sqref="I13:N13">
    <cfRule type="cellIs" dxfId="13" priority="2" operator="greaterThan">
      <formula>55000</formula>
    </cfRule>
  </conditionalFormatting>
  <dataValidations count="1">
    <dataValidation type="textLength" allowBlank="1" showInputMessage="1" showErrorMessage="1" errorTitle="OVER LENGTH" error="OVER LENGTH" promptTitle="OVER LENGTH" prompt="OVER LENGTH" sqref="B9:B14 I18 I10:N10" xr:uid="{FB383462-452E-4568-96CC-B944879D26D3}">
      <formula1>1</formula1>
      <formula2>30</formula2>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EB6CA837-30A9-42E9-A9A9-6284731F5BC7}">
            <x14:dataBar minLength="0" maxLength="100" border="1" negativeBarBorderColorSameAsPositive="0">
              <x14:cfvo type="autoMin"/>
              <x14:cfvo type="autoMax"/>
              <x14:borderColor rgb="FFFFB628"/>
              <x14:negativeFillColor rgb="FFFF0000"/>
              <x14:negativeBorderColor rgb="FFFF0000"/>
              <x14:axisColor rgb="FF000000"/>
            </x14:dataBar>
          </x14:cfRule>
          <xm:sqref>G19:G21</xm:sqref>
        </x14:conditionalFormatting>
        <x14:conditionalFormatting xmlns:xm="http://schemas.microsoft.com/office/excel/2006/main">
          <x14:cfRule type="dataBar" id="{4A540083-7FA5-4460-8AF0-FFD0C1DC1169}">
            <x14:dataBar minLength="0" maxLength="100" border="1" negativeBarBorderColorSameAsPositive="0">
              <x14:cfvo type="autoMin"/>
              <x14:cfvo type="autoMax"/>
              <x14:borderColor rgb="FF638EC6"/>
              <x14:negativeFillColor rgb="FFFF0000"/>
              <x14:negativeBorderColor rgb="FFFF0000"/>
              <x14:axisColor rgb="FF000000"/>
            </x14:dataBar>
          </x14:cfRule>
          <xm:sqref>G32:G50 G18:G30</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AE3D9-830C-4EF0-B3DB-1585AF19F304}">
  <sheetPr codeName="Sheet10"/>
  <dimension ref="A1"/>
  <sheetViews>
    <sheetView workbookViewId="0"/>
  </sheetViews>
  <sheetFormatPr defaultRowHeight="14.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753E0-2F95-4AB4-AA4F-5ABD25CAA43E}">
  <sheetPr codeName="Sheet5"/>
  <dimension ref="A2:R26"/>
  <sheetViews>
    <sheetView topLeftCell="A6" workbookViewId="0">
      <selection activeCell="A7" sqref="A7:G7"/>
    </sheetView>
  </sheetViews>
  <sheetFormatPr defaultRowHeight="14.5"/>
  <cols>
    <col min="1" max="1" width="5.81640625" customWidth="1"/>
    <col min="3" max="3" width="14.6328125" customWidth="1"/>
    <col min="4" max="4" width="10.453125" customWidth="1"/>
    <col min="5" max="5" width="11.90625" customWidth="1"/>
    <col min="7" max="7" width="19.26953125" customWidth="1"/>
    <col min="10" max="10" width="15.81640625" bestFit="1" customWidth="1"/>
    <col min="16" max="16" width="9.7265625" bestFit="1" customWidth="1"/>
  </cols>
  <sheetData>
    <row r="2" spans="1:18" ht="31">
      <c r="A2" s="104" t="s">
        <v>277</v>
      </c>
      <c r="B2" s="104"/>
      <c r="C2" s="104"/>
      <c r="D2" s="104"/>
      <c r="E2" s="104"/>
      <c r="F2" s="104"/>
      <c r="G2" s="104"/>
      <c r="H2" s="104"/>
      <c r="I2" s="104"/>
      <c r="J2" s="104"/>
      <c r="K2" s="104"/>
      <c r="L2" s="104"/>
      <c r="M2" s="104"/>
      <c r="N2" s="104"/>
      <c r="O2" s="104"/>
      <c r="P2" s="104"/>
      <c r="Q2" s="104"/>
      <c r="R2" s="104"/>
    </row>
    <row r="5" spans="1:18" ht="17.5">
      <c r="A5" s="46" t="s">
        <v>276</v>
      </c>
    </row>
    <row r="7" spans="1:18" ht="18.5">
      <c r="A7" s="77" t="s">
        <v>278</v>
      </c>
      <c r="B7" s="78" t="s">
        <v>208</v>
      </c>
      <c r="C7" s="78" t="s">
        <v>209</v>
      </c>
      <c r="D7" s="78" t="s">
        <v>279</v>
      </c>
      <c r="E7" s="78" t="s">
        <v>295</v>
      </c>
      <c r="F7" s="78" t="s">
        <v>211</v>
      </c>
      <c r="G7" s="78" t="s">
        <v>280</v>
      </c>
      <c r="H7" s="11"/>
      <c r="I7" s="11"/>
      <c r="L7" s="54"/>
      <c r="M7" s="11"/>
      <c r="N7" s="11"/>
      <c r="O7" s="11"/>
      <c r="P7" s="11"/>
      <c r="Q7" s="11"/>
      <c r="R7" s="11"/>
    </row>
    <row r="8" spans="1:18" ht="29" customHeight="1">
      <c r="A8" s="73" t="s">
        <v>213</v>
      </c>
      <c r="B8" s="74" t="s">
        <v>281</v>
      </c>
      <c r="C8" s="74" t="s">
        <v>15</v>
      </c>
      <c r="D8" s="74" t="s">
        <v>282</v>
      </c>
      <c r="E8" s="75">
        <v>44562</v>
      </c>
      <c r="F8" s="74">
        <v>55000</v>
      </c>
      <c r="G8" s="74" t="s">
        <v>296</v>
      </c>
      <c r="H8" s="11"/>
      <c r="I8" s="11"/>
      <c r="L8" s="54"/>
      <c r="M8" s="11"/>
      <c r="N8" s="11"/>
      <c r="O8" s="11"/>
      <c r="P8" s="72"/>
      <c r="Q8" s="11"/>
    </row>
    <row r="9" spans="1:18" ht="29" customHeight="1">
      <c r="A9" s="73" t="s">
        <v>216</v>
      </c>
      <c r="B9" s="74" t="s">
        <v>284</v>
      </c>
      <c r="C9" s="74" t="s">
        <v>9</v>
      </c>
      <c r="D9" s="74" t="s">
        <v>285</v>
      </c>
      <c r="E9" s="75">
        <v>44242</v>
      </c>
      <c r="F9" s="74">
        <v>48000</v>
      </c>
      <c r="G9" s="74" t="s">
        <v>297</v>
      </c>
      <c r="H9" s="11"/>
      <c r="I9" s="11"/>
      <c r="L9" s="54"/>
      <c r="M9" s="11"/>
      <c r="N9" s="11"/>
      <c r="O9" s="11"/>
      <c r="P9" s="72"/>
      <c r="Q9" s="11"/>
    </row>
    <row r="10" spans="1:18" ht="29" customHeight="1">
      <c r="A10" s="73" t="s">
        <v>219</v>
      </c>
      <c r="B10" s="74" t="s">
        <v>287</v>
      </c>
      <c r="C10" s="74" t="s">
        <v>3</v>
      </c>
      <c r="D10" s="74" t="s">
        <v>282</v>
      </c>
      <c r="E10" s="75">
        <v>44995</v>
      </c>
      <c r="F10" s="74">
        <v>62000</v>
      </c>
      <c r="G10" s="74" t="s">
        <v>298</v>
      </c>
      <c r="H10" s="11"/>
      <c r="I10" s="11"/>
      <c r="L10" s="54"/>
      <c r="M10" s="11"/>
      <c r="N10" s="11"/>
      <c r="O10" s="11"/>
      <c r="P10" s="72"/>
      <c r="Q10" s="11"/>
    </row>
    <row r="11" spans="1:18">
      <c r="A11" s="73" t="s">
        <v>222</v>
      </c>
      <c r="B11" s="74" t="s">
        <v>289</v>
      </c>
      <c r="C11" s="74" t="s">
        <v>20</v>
      </c>
      <c r="D11" s="74" t="s">
        <v>282</v>
      </c>
      <c r="E11" s="75">
        <v>44671</v>
      </c>
      <c r="F11" s="74">
        <v>60000</v>
      </c>
      <c r="G11" s="74" t="s">
        <v>299</v>
      </c>
      <c r="H11" s="11"/>
      <c r="I11" s="11"/>
      <c r="L11" s="54"/>
      <c r="M11" s="11"/>
      <c r="N11" s="11"/>
      <c r="O11" s="11"/>
      <c r="P11" s="72"/>
      <c r="Q11" s="11"/>
    </row>
    <row r="12" spans="1:18">
      <c r="A12" s="73" t="s">
        <v>224</v>
      </c>
      <c r="B12" s="74" t="s">
        <v>291</v>
      </c>
      <c r="C12" s="74" t="s">
        <v>15</v>
      </c>
      <c r="D12" s="74" t="s">
        <v>285</v>
      </c>
      <c r="E12" s="75">
        <v>43956</v>
      </c>
      <c r="F12" s="74">
        <v>53000</v>
      </c>
      <c r="G12" s="74" t="s">
        <v>300</v>
      </c>
      <c r="H12" s="11"/>
      <c r="I12" s="11"/>
      <c r="L12" s="54"/>
      <c r="M12" s="11"/>
      <c r="N12" s="11"/>
      <c r="O12" s="11"/>
      <c r="P12" s="72"/>
      <c r="Q12" s="11"/>
    </row>
    <row r="13" spans="1:18">
      <c r="A13" s="73" t="s">
        <v>292</v>
      </c>
      <c r="B13" s="74" t="s">
        <v>293</v>
      </c>
      <c r="C13" s="74" t="s">
        <v>9</v>
      </c>
      <c r="D13" s="74" t="s">
        <v>282</v>
      </c>
      <c r="E13" s="75">
        <v>45089</v>
      </c>
      <c r="F13" s="74">
        <v>50000</v>
      </c>
      <c r="G13" s="74" t="s">
        <v>301</v>
      </c>
      <c r="H13" s="11"/>
      <c r="I13" s="11"/>
      <c r="L13" s="54"/>
      <c r="M13" s="11"/>
      <c r="N13" s="11"/>
      <c r="O13" s="11"/>
      <c r="P13" s="72"/>
      <c r="Q13" s="11"/>
    </row>
    <row r="14" spans="1:18">
      <c r="A14" s="71"/>
      <c r="B14" s="71"/>
      <c r="C14" s="71"/>
      <c r="D14" s="71"/>
      <c r="E14" s="71"/>
      <c r="F14" s="71"/>
      <c r="G14" s="71"/>
      <c r="H14" s="71"/>
      <c r="I14" s="71"/>
    </row>
    <row r="17" spans="1:3" ht="17.5">
      <c r="A17" s="46"/>
    </row>
    <row r="19" spans="1:3">
      <c r="A19" s="12"/>
      <c r="B19" s="12"/>
      <c r="C19" s="12"/>
    </row>
    <row r="20" spans="1:3">
      <c r="A20" s="70"/>
      <c r="B20" s="70"/>
      <c r="C20" s="70"/>
    </row>
    <row r="21" spans="1:3">
      <c r="A21" s="70"/>
      <c r="B21" s="70"/>
      <c r="C21" s="70"/>
    </row>
    <row r="22" spans="1:3">
      <c r="A22" s="70"/>
      <c r="B22" s="70"/>
      <c r="C22" s="70"/>
    </row>
    <row r="23" spans="1:3">
      <c r="A23" s="70"/>
      <c r="B23" s="70"/>
      <c r="C23" s="70"/>
    </row>
    <row r="24" spans="1:3">
      <c r="A24" s="70"/>
      <c r="B24" s="70"/>
      <c r="C24" s="70"/>
    </row>
    <row r="25" spans="1:3">
      <c r="A25" s="70"/>
      <c r="B25" s="70"/>
      <c r="C25" s="70"/>
    </row>
    <row r="26" spans="1:3">
      <c r="A26" s="70"/>
      <c r="B26" s="70"/>
      <c r="C26" s="70"/>
    </row>
  </sheetData>
  <dataConsolidate/>
  <mergeCells count="1">
    <mergeCell ref="A2:R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data_formatting">
                <anchor moveWithCells="1" sizeWithCells="1">
                  <from>
                    <xdr:col>9</xdr:col>
                    <xdr:colOff>133350</xdr:colOff>
                    <xdr:row>7</xdr:row>
                    <xdr:rowOff>63500</xdr:rowOff>
                  </from>
                  <to>
                    <xdr:col>10</xdr:col>
                    <xdr:colOff>285750</xdr:colOff>
                    <xdr:row>8</xdr:row>
                    <xdr:rowOff>6350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585CA-F6B3-496D-B280-823932072EFB}">
  <sheetPr codeName="Sheet6"/>
  <dimension ref="A7:G34"/>
  <sheetViews>
    <sheetView topLeftCell="A4" workbookViewId="0">
      <selection activeCell="M11" sqref="M11"/>
    </sheetView>
  </sheetViews>
  <sheetFormatPr defaultRowHeight="14.5"/>
  <cols>
    <col min="1" max="1" width="12.7265625" customWidth="1"/>
    <col min="2" max="2" width="3.90625" bestFit="1" customWidth="1"/>
    <col min="3" max="3" width="14.6328125" customWidth="1"/>
    <col min="4" max="4" width="10.453125" customWidth="1"/>
    <col min="5" max="5" width="11.90625" customWidth="1"/>
    <col min="7" max="7" width="19.26953125" customWidth="1"/>
  </cols>
  <sheetData>
    <row r="7" spans="1:7" ht="18.5">
      <c r="A7" s="83" t="s">
        <v>302</v>
      </c>
      <c r="B7" s="80"/>
      <c r="C7" s="80"/>
      <c r="D7" s="80"/>
      <c r="E7" s="80"/>
      <c r="F7" s="80"/>
      <c r="G7" s="80"/>
    </row>
    <row r="8" spans="1:7">
      <c r="A8" s="82"/>
      <c r="B8" s="82"/>
      <c r="C8" s="82"/>
      <c r="D8" s="82"/>
      <c r="E8" s="82"/>
      <c r="F8" s="79"/>
      <c r="G8" s="79"/>
    </row>
    <row r="9" spans="1:7">
      <c r="A9" s="76" t="s">
        <v>208</v>
      </c>
      <c r="B9" s="76" t="s">
        <v>303</v>
      </c>
      <c r="C9" s="76" t="s">
        <v>0</v>
      </c>
      <c r="D9" s="76" t="s">
        <v>280</v>
      </c>
      <c r="E9" s="76" t="s">
        <v>304</v>
      </c>
      <c r="F9" s="79"/>
      <c r="G9" s="79"/>
    </row>
    <row r="10" spans="1:7">
      <c r="A10" s="74" t="s">
        <v>214</v>
      </c>
      <c r="B10" s="74">
        <v>29</v>
      </c>
      <c r="C10" s="74" t="s">
        <v>305</v>
      </c>
      <c r="D10" s="74" t="s">
        <v>283</v>
      </c>
      <c r="E10" s="74" t="s">
        <v>306</v>
      </c>
      <c r="F10" s="79"/>
      <c r="G10" s="79"/>
    </row>
    <row r="11" spans="1:7">
      <c r="A11" s="74" t="s">
        <v>307</v>
      </c>
      <c r="B11" s="74">
        <v>34</v>
      </c>
      <c r="C11" s="74" t="s">
        <v>308</v>
      </c>
      <c r="D11" s="74" t="s">
        <v>286</v>
      </c>
      <c r="E11" s="74" t="s">
        <v>309</v>
      </c>
      <c r="F11" s="79"/>
      <c r="G11" s="79"/>
    </row>
    <row r="12" spans="1:7" ht="29">
      <c r="A12" s="74" t="s">
        <v>310</v>
      </c>
      <c r="B12" s="74">
        <v>31</v>
      </c>
      <c r="C12" s="74" t="s">
        <v>311</v>
      </c>
      <c r="D12" s="74" t="s">
        <v>288</v>
      </c>
      <c r="E12" s="74" t="s">
        <v>312</v>
      </c>
      <c r="F12" s="79"/>
      <c r="G12" s="79"/>
    </row>
    <row r="13" spans="1:7" ht="29">
      <c r="A13" s="74" t="s">
        <v>313</v>
      </c>
      <c r="B13" s="74">
        <v>27</v>
      </c>
      <c r="C13" s="74" t="s">
        <v>314</v>
      </c>
      <c r="D13" s="74" t="s">
        <v>290</v>
      </c>
      <c r="E13" s="74" t="s">
        <v>315</v>
      </c>
      <c r="F13" s="79"/>
      <c r="G13" s="79"/>
    </row>
    <row r="14" spans="1:7">
      <c r="A14" s="11" t="s">
        <v>316</v>
      </c>
      <c r="B14" s="11">
        <v>25</v>
      </c>
      <c r="C14" s="11" t="s">
        <v>317</v>
      </c>
      <c r="D14" s="11" t="s">
        <v>294</v>
      </c>
      <c r="E14" s="11" t="s">
        <v>318</v>
      </c>
    </row>
    <row r="17" spans="1:1" ht="17.5">
      <c r="A17" s="46"/>
    </row>
    <row r="21" spans="1:1">
      <c r="A21" s="81"/>
    </row>
    <row r="27" spans="1:1" ht="17.5">
      <c r="A27" s="46"/>
    </row>
    <row r="29" spans="1:1">
      <c r="A29" s="12"/>
    </row>
    <row r="30" spans="1:1">
      <c r="A30" s="70"/>
    </row>
    <row r="31" spans="1:1">
      <c r="A31" s="70"/>
    </row>
    <row r="32" spans="1:1">
      <c r="A32" s="70"/>
    </row>
    <row r="33" spans="1:1">
      <c r="A33" s="70"/>
    </row>
    <row r="34" spans="1:1">
      <c r="A34" s="7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data_formatting">
                <anchor moveWithCells="1" sizeWithCells="1">
                  <from>
                    <xdr:col>6</xdr:col>
                    <xdr:colOff>1047750</xdr:colOff>
                    <xdr:row>5</xdr:row>
                    <xdr:rowOff>69850</xdr:rowOff>
                  </from>
                  <to>
                    <xdr:col>10</xdr:col>
                    <xdr:colOff>177800</xdr:colOff>
                    <xdr:row>7</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0B3B0-6E60-4405-9086-48DA739DFA85}">
  <sheetPr codeName="Sheet7"/>
  <dimension ref="A1:F19"/>
  <sheetViews>
    <sheetView workbookViewId="0">
      <selection activeCell="D14" sqref="D14"/>
    </sheetView>
  </sheetViews>
  <sheetFormatPr defaultRowHeight="14.5"/>
  <cols>
    <col min="1" max="1" width="11.7265625" bestFit="1" customWidth="1"/>
    <col min="2" max="2" width="9" customWidth="1"/>
    <col min="3" max="3" width="18.26953125" customWidth="1"/>
    <col min="4" max="4" width="14" customWidth="1"/>
    <col min="5" max="5" width="12.36328125" bestFit="1" customWidth="1"/>
    <col min="6" max="6" width="16.36328125" bestFit="1" customWidth="1"/>
  </cols>
  <sheetData>
    <row r="1" spans="1:5">
      <c r="A1" s="5" t="s">
        <v>208</v>
      </c>
      <c r="B1" s="5" t="s">
        <v>303</v>
      </c>
      <c r="C1" s="5" t="s">
        <v>0</v>
      </c>
      <c r="D1" s="5" t="s">
        <v>280</v>
      </c>
      <c r="E1" s="5" t="s">
        <v>304</v>
      </c>
    </row>
    <row r="2" spans="1:5">
      <c r="A2" s="5" t="s">
        <v>214</v>
      </c>
      <c r="B2" s="5">
        <v>29</v>
      </c>
      <c r="C2" s="5" t="s">
        <v>305</v>
      </c>
      <c r="D2" s="5" t="s">
        <v>283</v>
      </c>
      <c r="E2" s="5" t="s">
        <v>306</v>
      </c>
    </row>
    <row r="3" spans="1:5">
      <c r="A3" s="5" t="s">
        <v>307</v>
      </c>
      <c r="B3" s="5">
        <v>34</v>
      </c>
      <c r="C3" s="5" t="s">
        <v>308</v>
      </c>
      <c r="D3" s="5" t="s">
        <v>286</v>
      </c>
      <c r="E3" s="5" t="s">
        <v>309</v>
      </c>
    </row>
    <row r="4" spans="1:5">
      <c r="A4" s="5" t="s">
        <v>310</v>
      </c>
      <c r="B4" s="5">
        <v>31</v>
      </c>
      <c r="C4" s="5" t="s">
        <v>311</v>
      </c>
      <c r="D4" s="5" t="s">
        <v>288</v>
      </c>
      <c r="E4" s="5" t="s">
        <v>312</v>
      </c>
    </row>
    <row r="5" spans="1:5">
      <c r="A5" s="5" t="s">
        <v>313</v>
      </c>
      <c r="B5" s="5">
        <v>27</v>
      </c>
      <c r="C5" s="5" t="s">
        <v>314</v>
      </c>
      <c r="D5" s="5" t="s">
        <v>290</v>
      </c>
      <c r="E5" s="5" t="s">
        <v>315</v>
      </c>
    </row>
    <row r="6" spans="1:5">
      <c r="A6" s="5" t="s">
        <v>316</v>
      </c>
      <c r="B6" s="5">
        <v>25</v>
      </c>
      <c r="C6" s="5" t="s">
        <v>317</v>
      </c>
      <c r="D6" s="5" t="s">
        <v>294</v>
      </c>
      <c r="E6" s="5" t="s">
        <v>318</v>
      </c>
    </row>
    <row r="13" spans="1:5" ht="15" thickBot="1"/>
    <row r="14" spans="1:5" ht="15.5" thickTop="1" thickBot="1">
      <c r="C14" s="65" t="s">
        <v>321</v>
      </c>
    </row>
    <row r="15" spans="1:5" ht="15" thickTop="1"/>
    <row r="18" spans="1:6">
      <c r="A18" s="84" t="s">
        <v>208</v>
      </c>
      <c r="B18" s="85" t="s">
        <v>303</v>
      </c>
      <c r="C18" s="85" t="s">
        <v>0</v>
      </c>
      <c r="D18" s="85" t="s">
        <v>280</v>
      </c>
      <c r="E18" s="86" t="s">
        <v>304</v>
      </c>
      <c r="F18" s="84" t="s">
        <v>319</v>
      </c>
    </row>
    <row r="19" spans="1:6">
      <c r="A19" s="87" t="s">
        <v>313</v>
      </c>
      <c r="B19" s="88">
        <v>27</v>
      </c>
      <c r="C19" s="88" t="s">
        <v>314</v>
      </c>
      <c r="D19" s="88" t="s">
        <v>290</v>
      </c>
      <c r="E19" s="89" t="s">
        <v>315</v>
      </c>
      <c r="F19" s="87" t="s">
        <v>320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Priya">
                <anchor moveWithCells="1" sizeWithCells="1">
                  <from>
                    <xdr:col>8</xdr:col>
                    <xdr:colOff>355600</xdr:colOff>
                    <xdr:row>1</xdr:row>
                    <xdr:rowOff>25400</xdr:rowOff>
                  </from>
                  <to>
                    <xdr:col>9</xdr:col>
                    <xdr:colOff>546100</xdr:colOff>
                    <xdr:row>2</xdr:row>
                    <xdr:rowOff>107950</xdr:rowOff>
                  </to>
                </anchor>
              </controlPr>
            </control>
          </mc:Choice>
        </mc:AlternateContent>
        <mc:AlternateContent xmlns:mc="http://schemas.openxmlformats.org/markup-compatibility/2006">
          <mc:Choice Requires="x14">
            <control shapeId="8194" r:id="rId4" name="Button 2">
              <controlPr defaultSize="0" print="0" autoFill="0" autoPict="0" macro="[0]!SNEHA">
                <anchor moveWithCells="1" sizeWithCells="1">
                  <from>
                    <xdr:col>8</xdr:col>
                    <xdr:colOff>419100</xdr:colOff>
                    <xdr:row>3</xdr:row>
                    <xdr:rowOff>76200</xdr:rowOff>
                  </from>
                  <to>
                    <xdr:col>9</xdr:col>
                    <xdr:colOff>584200</xdr:colOff>
                    <xdr:row>4</xdr:row>
                    <xdr:rowOff>127000</xdr:rowOff>
                  </to>
                </anchor>
              </controlPr>
            </control>
          </mc:Choice>
        </mc:AlternateContent>
        <mc:AlternateContent xmlns:mc="http://schemas.openxmlformats.org/markup-compatibility/2006">
          <mc:Choice Requires="x14">
            <control shapeId="8195" r:id="rId5" name="Button 3">
              <controlPr defaultSize="0" print="0" autoFill="0" autoPict="0" macro="[0]!SELECT_ALL">
                <anchor moveWithCells="1" sizeWithCells="1">
                  <from>
                    <xdr:col>8</xdr:col>
                    <xdr:colOff>476250</xdr:colOff>
                    <xdr:row>5</xdr:row>
                    <xdr:rowOff>152400</xdr:rowOff>
                  </from>
                  <to>
                    <xdr:col>10</xdr:col>
                    <xdr:colOff>260350</xdr:colOff>
                    <xdr:row>7</xdr:row>
                    <xdr:rowOff>25400</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94C25-D240-4EBC-8979-72BD6C5794D9}">
  <sheetPr codeName="Sheet8"/>
  <dimension ref="A1:J35"/>
  <sheetViews>
    <sheetView tabSelected="1" workbookViewId="0">
      <selection activeCell="I10" sqref="I10"/>
    </sheetView>
  </sheetViews>
  <sheetFormatPr defaultRowHeight="14.5"/>
  <cols>
    <col min="1" max="1" width="13.54296875" style="105" customWidth="1"/>
    <col min="2" max="2" width="13.7265625" style="105" bestFit="1" customWidth="1"/>
    <col min="3" max="3" width="14.36328125" style="105" customWidth="1"/>
    <col min="4" max="4" width="16.54296875" style="105" customWidth="1"/>
    <col min="5" max="5" width="12.36328125" style="105" bestFit="1" customWidth="1"/>
    <col min="6" max="16384" width="8.7265625" style="105"/>
  </cols>
  <sheetData>
    <row r="1" spans="1:10">
      <c r="A1" s="105" t="s">
        <v>327</v>
      </c>
    </row>
    <row r="6" spans="1:10" ht="26">
      <c r="A6" s="106" t="s">
        <v>328</v>
      </c>
      <c r="B6" s="106"/>
      <c r="C6" s="106"/>
      <c r="D6" s="106"/>
      <c r="E6" s="106"/>
      <c r="F6" s="106"/>
      <c r="G6" s="106"/>
      <c r="H6" s="106"/>
      <c r="I6" s="106"/>
      <c r="J6" s="106"/>
    </row>
    <row r="7" spans="1:10">
      <c r="A7" s="107"/>
      <c r="B7" s="107"/>
      <c r="C7" s="107"/>
      <c r="D7" s="107"/>
      <c r="E7" s="107"/>
      <c r="F7" s="107"/>
      <c r="G7" s="107"/>
    </row>
    <row r="8" spans="1:10">
      <c r="A8" s="108" t="s">
        <v>142</v>
      </c>
      <c r="B8" s="108" t="s">
        <v>143</v>
      </c>
      <c r="C8" s="108" t="s">
        <v>144</v>
      </c>
      <c r="D8" s="108" t="s">
        <v>145</v>
      </c>
    </row>
    <row r="9" spans="1:10">
      <c r="A9" s="109" t="s">
        <v>251</v>
      </c>
      <c r="B9" s="109">
        <v>120</v>
      </c>
      <c r="C9" s="109">
        <v>10</v>
      </c>
      <c r="D9" s="109">
        <v>1200</v>
      </c>
    </row>
    <row r="10" spans="1:10">
      <c r="A10" s="109" t="s">
        <v>253</v>
      </c>
      <c r="B10" s="109">
        <v>75</v>
      </c>
      <c r="C10" s="109">
        <v>25</v>
      </c>
      <c r="D10" s="109">
        <v>1875</v>
      </c>
      <c r="I10" s="90"/>
    </row>
    <row r="11" spans="1:10">
      <c r="A11" s="109" t="s">
        <v>252</v>
      </c>
      <c r="B11" s="109">
        <v>200</v>
      </c>
      <c r="C11" s="109">
        <v>5</v>
      </c>
      <c r="D11" s="109">
        <v>1000</v>
      </c>
    </row>
    <row r="12" spans="1:10">
      <c r="A12" s="109" t="s">
        <v>322</v>
      </c>
      <c r="B12" s="109">
        <v>150</v>
      </c>
      <c r="C12" s="109">
        <v>3</v>
      </c>
      <c r="D12" s="109">
        <v>450</v>
      </c>
    </row>
    <row r="13" spans="1:10">
      <c r="A13" s="109" t="s">
        <v>251</v>
      </c>
      <c r="B13" s="109">
        <v>100</v>
      </c>
      <c r="C13" s="109">
        <v>10</v>
      </c>
      <c r="D13" s="109">
        <v>1000</v>
      </c>
    </row>
    <row r="14" spans="1:10">
      <c r="A14" s="109" t="s">
        <v>253</v>
      </c>
      <c r="B14" s="109">
        <v>90</v>
      </c>
      <c r="C14" s="109">
        <v>25</v>
      </c>
      <c r="D14" s="109">
        <v>2250</v>
      </c>
    </row>
    <row r="15" spans="1:10">
      <c r="A15" s="109" t="s">
        <v>252</v>
      </c>
      <c r="B15" s="109">
        <v>180</v>
      </c>
      <c r="C15" s="109">
        <v>5</v>
      </c>
      <c r="D15" s="109">
        <v>900</v>
      </c>
    </row>
    <row r="16" spans="1:10">
      <c r="A16" s="109" t="s">
        <v>322</v>
      </c>
      <c r="B16" s="109">
        <v>160</v>
      </c>
      <c r="C16" s="109">
        <v>3</v>
      </c>
      <c r="D16" s="109">
        <v>480</v>
      </c>
    </row>
    <row r="20" spans="1:7">
      <c r="B20" s="105" t="s">
        <v>324</v>
      </c>
      <c r="D20" s="105" t="s">
        <v>325</v>
      </c>
      <c r="F20" s="105" t="s">
        <v>326</v>
      </c>
    </row>
    <row r="22" spans="1:7">
      <c r="A22" s="105" t="s">
        <v>323</v>
      </c>
      <c r="C22" s="105" t="s">
        <v>324</v>
      </c>
      <c r="E22" s="105" t="s">
        <v>325</v>
      </c>
      <c r="G22" s="105" t="s">
        <v>326</v>
      </c>
    </row>
    <row r="25" spans="1:7">
      <c r="B25" s="105" t="s">
        <v>324</v>
      </c>
      <c r="D25" s="105" t="s">
        <v>325</v>
      </c>
      <c r="F25" s="105" t="s">
        <v>326</v>
      </c>
    </row>
    <row r="28" spans="1:7">
      <c r="C28" s="105" t="s">
        <v>324</v>
      </c>
      <c r="E28" s="105" t="s">
        <v>325</v>
      </c>
      <c r="G28" s="105" t="s">
        <v>326</v>
      </c>
    </row>
    <row r="30" spans="1:7">
      <c r="B30" s="105" t="s">
        <v>324</v>
      </c>
      <c r="D30" s="105" t="s">
        <v>325</v>
      </c>
      <c r="F30" s="105" t="s">
        <v>326</v>
      </c>
    </row>
    <row r="32" spans="1:7">
      <c r="C32" s="105" t="s">
        <v>324</v>
      </c>
      <c r="E32" s="105" t="s">
        <v>325</v>
      </c>
      <c r="G32" s="105" t="s">
        <v>326</v>
      </c>
    </row>
    <row r="35" spans="2:6">
      <c r="B35" s="105" t="s">
        <v>324</v>
      </c>
      <c r="D35" s="105" t="s">
        <v>325</v>
      </c>
      <c r="F35" s="105" t="s">
        <v>326</v>
      </c>
    </row>
  </sheetData>
  <mergeCells count="1">
    <mergeCell ref="A6:J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Macro3">
                <anchor moveWithCells="1" sizeWithCells="1">
                  <from>
                    <xdr:col>8</xdr:col>
                    <xdr:colOff>120650</xdr:colOff>
                    <xdr:row>23</xdr:row>
                    <xdr:rowOff>88900</xdr:rowOff>
                  </from>
                  <to>
                    <xdr:col>10</xdr:col>
                    <xdr:colOff>260350</xdr:colOff>
                    <xdr:row>26</xdr:row>
                    <xdr:rowOff>88900</xdr:rowOff>
                  </to>
                </anchor>
              </controlPr>
            </control>
          </mc:Choice>
        </mc:AlternateContent>
      </controls>
    </mc:Choice>
  </mc:AlternateContent>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66CA07-5D5E-4650-9D34-ED9B61A20CA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FUNCTIONS 1</vt:lpstr>
      <vt:lpstr>FUNCTIONS 2</vt:lpstr>
      <vt:lpstr>CHARTS , PIVOT TB AND PIVOT CH</vt:lpstr>
      <vt:lpstr>LOOKUP AND DEPENDENCY</vt:lpstr>
      <vt:lpstr>Sheet2</vt:lpstr>
      <vt:lpstr>MACRO RECORD</vt:lpstr>
      <vt:lpstr>export macro</vt:lpstr>
      <vt:lpstr>CSV to Excel and Macro</vt:lpstr>
      <vt:lpstr>Slicer, Macro and VBA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sridhara panigrahy</dc:creator>
  <cp:lastModifiedBy>sridhara panigrahy</cp:lastModifiedBy>
  <dcterms:created xsi:type="dcterms:W3CDTF">2025-10-15T08:07:59Z</dcterms:created>
  <dcterms:modified xsi:type="dcterms:W3CDTF">2025-10-28T10:01:04Z</dcterms:modified>
</cp:coreProperties>
</file>